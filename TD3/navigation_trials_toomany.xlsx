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revisions/_rels/revisionHeaders.xml.rels" ContentType="application/vnd.openxmlformats-package.relationship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<sst xmlns="http://schemas.openxmlformats.org/spreadsheetml/2006/main" count="148" uniqueCount="31">
  <si>
    <t xml:space="preserve">goal_x</t>
  </si>
  <si>
    <t xml:space="preserve">goal_y</t>
  </si>
  <si>
    <t xml:space="preserve">success</t>
  </si>
  <si>
    <t xml:space="preserve">reward</t>
  </si>
  <si>
    <t xml:space="preserve">path_length</t>
  </si>
  <si>
    <t xml:space="preserve">steps</t>
  </si>
  <si>
    <t xml:space="preserve">final_distance</t>
  </si>
  <si>
    <t xml:space="preserve">start_x</t>
  </si>
  <si>
    <t xml:space="preserve">start_y</t>
  </si>
  <si>
    <t xml:space="preserve">final_x</t>
  </si>
  <si>
    <t xml:space="preserve">final_y</t>
  </si>
  <si>
    <t xml:space="preserve">euclidean distance</t>
  </si>
  <si>
    <t xml:space="preserve">SPL</t>
  </si>
  <si>
    <t xml:space="preserve">SPL without 0</t>
  </si>
  <si>
    <t xml:space="preserve">object_name</t>
  </si>
  <si>
    <t xml:space="preserve">true_x</t>
  </si>
  <si>
    <t xml:space="preserve">true_y</t>
  </si>
  <si>
    <t xml:space="preserve">taken_time</t>
  </si>
  <si>
    <t xml:space="preserve">table</t>
  </si>
  <si>
    <t xml:space="preserve">trash_can</t>
  </si>
  <si>
    <t xml:space="preserve">extinguisher</t>
  </si>
  <si>
    <t xml:space="preserve">Fridge</t>
  </si>
  <si>
    <t xml:space="preserve">Oven</t>
  </si>
  <si>
    <t xml:space="preserve">Kitchen Sink</t>
  </si>
  <si>
    <t xml:space="preserve">bookshelf</t>
  </si>
  <si>
    <t xml:space="preserve">door</t>
  </si>
  <si>
    <t xml:space="preserve">fire hydrant</t>
  </si>
  <si>
    <t xml:space="preserve">guitar</t>
  </si>
  <si>
    <t xml:space="preserve">plant</t>
  </si>
  <si>
    <t xml:space="preserve">safe</t>
  </si>
  <si>
    <t xml:space="preserve">washing Machine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</si>
</sst>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usernames" Target="revisions/userNames.xml"/><Relationship Id="rId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
</Relationships>
</file>

<file path=xl/revisions/revisionHeaders.xml><?xml version="1.0" encoding="utf-8"?>
<headers xmlns="http://schemas.openxmlformats.org/spreadsheetml/2006/main" xmlns:r="http://schemas.openxmlformats.org/officeDocument/2006/relationships" guid="{A3D5B3FA-2C83-49C2-85CC-543E0BB941B8}">
  <header guid="{6CBB7E86-C0A2-448D-A324-AD6404F8AEDC}" dateTime="2026-03-18T09:54:00.000000000Z" userName=" " r:id="rId1" minRId="1" maxRId="20" maxSheetId="2">
    <sheetIdMap count="1">
      <sheetId val="1"/>
    </sheetIdMap>
  </header>
  <header guid="{A3D5B3FA-2C83-49C2-85CC-543E0BB941B8}" dateTime="2026-03-18T09:55:00.000000000Z" userName=" " r:id="rId2" minRId="21" maxRId="68" maxSheet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nc r="N17" t="n">
      <v>0.877460134110354</v>
    </nc>
  </rcc>
  <rcc rId="2" ua="false" sId="1">
    <nc r="N18" t="n">
      <v>0.979532419976476</v>
    </nc>
  </rcc>
  <rcc rId="3" ua="false" sId="1">
    <nc r="N19" t="n">
      <v>0.938708884255351</v>
    </nc>
  </rcc>
  <rcc rId="4" ua="false" sId="1">
    <nc r="N20" t="n">
      <v>0.899400991942872</v>
    </nc>
  </rcc>
  <rcc rId="5" ua="false" sId="1">
    <nc r="N21" t="n">
      <v>0.817259158896473</v>
    </nc>
  </rcc>
  <rcc rId="6" ua="false" sId="1">
    <nc r="N22" t="n">
      <v>0.949912420183718</v>
    </nc>
  </rcc>
  <rcc rId="7" ua="false" sId="1">
    <nc r="N23" t="n">
      <v>0.97961533052976</v>
    </nc>
  </rcc>
  <rcc rId="8" ua="false" sId="1">
    <nc r="N24" t="n">
      <v>0.436597579248601</v>
    </nc>
  </rcc>
  <rcc rId="9" ua="false" sId="1">
    <nc r="N25" t="n">
      <v>0.415375874004248</v>
    </nc>
  </rcc>
  <rcc rId="10" ua="false" sId="1">
    <nc r="N26" t="n">
      <v>0.739830787827346</v>
    </nc>
  </rcc>
  <rcc rId="11" ua="false" sId="1">
    <nc r="N27" t="n">
      <v>0.517101700838948</v>
    </nc>
  </rcc>
  <rcc rId="12" ua="false" sId="1">
    <nc r="N28" t="n">
      <v>0.534775249317074</v>
    </nc>
  </rcc>
  <rcc rId="13" ua="false" sId="1">
    <nc r="N29" t="n">
      <v>0.883630521962548</v>
    </nc>
  </rcc>
  <rcc rId="14" ua="false" sId="1">
    <nc r="N30" t="n">
      <v>0.883719049719751</v>
    </nc>
  </rcc>
  <rcc rId="15" ua="false" sId="1">
    <nc r="N31" t="n">
      <v>0.920862483414063</v>
    </nc>
  </rcc>
  <rcc rId="16" ua="false" sId="1">
    <nc r="N32" t="n">
      <v>0.659204474044512</v>
    </nc>
  </rcc>
  <rcc rId="17" ua="false" sId="1">
    <nc r="N33" t="n">
      <v>0.779330644097282</v>
    </nc>
  </rcc>
  <rcc rId="18" ua="false" sId="1">
    <nc r="N34" t="n">
      <v>0.844261520594657</v>
    </nc>
  </rcc>
  <rcc rId="19" ua="false" sId="1">
    <nc r="N35" t="n">
      <v>0.949663488910697</v>
    </nc>
  </rcc>
  <rcc rId="20" ua="false" sId="1">
    <nc r="N36" t="n">
      <v>0.642009485544886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21" ua="false" sId="1">
    <nc r="N37" t="n">
      <v>0.694339667388713</v>
    </nc>
  </rcc>
  <rcc rId="22" ua="false" sId="1">
    <nc r="N38" t="n">
      <v>0.558023481267394</v>
    </nc>
  </rcc>
  <rcc rId="23" ua="false" sId="1">
    <nc r="N39" t="n">
      <v>0.749602365701119</v>
    </nc>
  </rcc>
  <rcc rId="24" ua="false" sId="1">
    <nc r="N40" t="n">
      <v>0.735245551833533</v>
    </nc>
  </rcc>
  <rcc rId="25" ua="false" sId="1">
    <nc r="N41" t="n">
      <v>0.85693285214189</v>
    </nc>
  </rcc>
  <rcc rId="26" ua="false" sId="1">
    <nc r="N42" t="n">
      <v>0.913934464414377</v>
    </nc>
  </rcc>
  <rcc rId="27" ua="false" sId="1">
    <nc r="N43" t="n">
      <v>0.843462278906109</v>
    </nc>
  </rcc>
  <rcc rId="28" ua="false" sId="1">
    <nc r="N44" t="n">
      <v>0.806827158924942</v>
    </nc>
  </rcc>
  <rcc rId="29" ua="false" sId="1">
    <nc r="N45" t="n">
      <v>0.719873807274503</v>
    </nc>
  </rcc>
  <rcc rId="30" ua="false" sId="1">
    <nc r="N46" t="n">
      <v>0.612729037997212</v>
    </nc>
  </rcc>
  <rcc rId="31" ua="false" sId="1">
    <nc r="N47" t="n">
      <v>0.879750541314892</v>
    </nc>
  </rcc>
  <rcc rId="32" ua="false" sId="1">
    <nc r="N48" t="n">
      <v>0.922109930284806</v>
    </nc>
  </rcc>
  <rcc rId="33" ua="false" sId="1">
    <nc r="N49" t="n">
      <v>0.915647066908102</v>
    </nc>
  </rcc>
  <rcc rId="34" ua="false" sId="1">
    <nc r="N50" t="n">
      <v>0.943693206697736</v>
    </nc>
  </rcc>
  <rcc rId="35" ua="false" sId="1">
    <nc r="N51" t="n">
      <v>0.748397289059999</v>
    </nc>
  </rcc>
  <rcc rId="36" ua="false" sId="1">
    <nc r="N52" t="n">
      <v>0.971266194231299</v>
    </nc>
  </rcc>
  <rcc rId="37" ua="false" sId="1">
    <nc r="N53" t="n">
      <v>0.957094994205401</v>
    </nc>
  </rcc>
  <rcc rId="38" ua="false" sId="1">
    <nc r="N54" t="n">
      <v>0.910791980016803</v>
    </nc>
  </rcc>
  <rcc rId="39" ua="false" sId="1">
    <nc r="N55" t="n">
      <v>0.149376624223866</v>
    </nc>
  </rcc>
  <rcc rId="40" ua="false" sId="1">
    <nc r="N56" t="n">
      <v>0.806641506723841</v>
    </nc>
  </rcc>
  <rcc rId="41" ua="false" sId="1">
    <nc r="N57" t="n">
      <v>0.435025955215747</v>
    </nc>
  </rcc>
  <rcc rId="42" ua="false" sId="1">
    <nc r="N58" t="n">
      <v>0.687619184085679</v>
    </nc>
  </rcc>
  <rcc rId="43" ua="false" sId="1">
    <nc r="N59" t="n">
      <v>0.410088256390595</v>
    </nc>
  </rcc>
  <rcc rId="44" ua="false" sId="1">
    <nc r="N60" t="n">
      <v>0.528676833660158</v>
    </nc>
  </rcc>
  <rcc rId="45" ua="false" sId="1">
    <nc r="N61" t="n">
      <v>0.750694718833204</v>
    </nc>
  </rcc>
  <rcc rId="46" ua="false" sId="1">
    <nc r="N62" t="n">
      <v>0.79647437739475</v>
    </nc>
  </rcc>
  <rcc rId="47" ua="false" sId="1">
    <nc r="N63" t="n">
      <v>0.471458824730709</v>
    </nc>
  </rcc>
  <rcc rId="48" ua="false" sId="1">
    <nc r="N64" t="n">
      <v>0.487009293522427</v>
    </nc>
  </rcc>
  <rcc rId="49" ua="false" sId="1">
    <nc r="N65" t="n">
      <v>0.926394694995299</v>
    </nc>
  </rcc>
  <rcc rId="50" ua="false" sId="1">
    <nc r="N66" t="n">
      <v>0.565725801343117</v>
    </nc>
  </rcc>
  <rcc rId="51" ua="false" sId="1">
    <nc r="N67" t="n">
      <v>0.719143281053199</v>
    </nc>
  </rcc>
  <rcc rId="52" ua="false" sId="1">
    <nc r="N68" t="n">
      <v>0.392469656517818</v>
    </nc>
  </rcc>
  <rcc rId="53" ua="false" sId="1">
    <nc r="N69" t="n">
      <v>0.439417500483968</v>
    </nc>
  </rcc>
  <rcc rId="54" ua="false" sId="1">
    <nc r="N70" t="n">
      <v>0.904914032859051</v>
    </nc>
  </rcc>
  <rcc rId="55" ua="false" sId="1">
    <nc r="N71" t="n">
      <v>0.528086153366563</v>
    </nc>
  </rcc>
  <rcc rId="56" ua="false" sId="1">
    <nc r="N72" t="n">
      <v>0.98139205621571</v>
    </nc>
  </rcc>
  <rcc rId="57" ua="false" sId="1">
    <nc r="N73" t="n">
      <v>0.97131670793417</v>
    </nc>
  </rcc>
  <rcc rId="58" ua="false" sId="1">
    <nc r="N74" t="n">
      <v>0.861920734055635</v>
    </nc>
  </rcc>
  <rcc rId="59" ua="false" sId="1">
    <nc r="N75" t="n">
      <v>0.700683903363134</v>
    </nc>
  </rcc>
  <rcc rId="60" ua="false" sId="1">
    <nc r="N76" t="n">
      <v>0.990684224310578</v>
    </nc>
  </rcc>
  <rcc rId="61" ua="false" sId="1">
    <nc r="N77" t="n">
      <v>0.645282134521042</v>
    </nc>
  </rcc>
  <rcc rId="62" ua="false" sId="1">
    <nc r="N78" t="n">
      <v>0.740650423942061</v>
    </nc>
  </rcc>
  <rcc rId="63" ua="false" sId="1">
    <nc r="N79" t="n">
      <v>0.520589356257365</v>
    </nc>
  </rcc>
  <rcc rId="64" ua="false" sId="1">
    <nc r="N80" t="n">
      <v>0.669725035465961</v>
    </nc>
  </rcc>
  <rcc rId="65" ua="false" sId="1">
    <nc r="N81" t="n">
      <v>0.663938974719563</v>
    </nc>
  </rcc>
  <rcc rId="66" ua="false" sId="1">
    <nc r="N82" t="n">
      <v>0.506910418437694</v>
    </nc>
  </rcc>
  <rcc rId="67" ua="false" sId="1">
    <nc r="N83" t="n">
      <v>0.99016365892427</v>
    </nc>
  </rcc>
  <rcc rId="68" ua="false" sId="1">
    <nc r="N84" t="e">
      <f>AVERAGE(N2:N83)</f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2" activeCellId="0" sqref="L22"/>
    </sheetView>
  </sheetViews>
  <sheetFormatPr defaultColWidth="8.5390625" defaultRowHeight="13.8" zeroHeight="false" outlineLevelRow="0" outlineLevelCol="0"/>
  <cols>
    <col collapsed="false" customWidth="true" hidden="false" outlineLevel="0" max="5" min="5" style="0" width="13.45"/>
    <col collapsed="false" customWidth="true" hidden="false" outlineLevel="0" max="7" min="7" style="0" width="16.43"/>
    <col collapsed="false" customWidth="true" hidden="false" outlineLevel="0" max="12" min="12" style="0" width="23.26"/>
    <col collapsed="false" customWidth="true" hidden="false" outlineLevel="0" max="15" min="13" style="0" width="17.42"/>
    <col collapsed="false" customWidth="true" hidden="false" outlineLevel="0" max="18" min="18" style="0" width="13.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0" t="n">
        <v>-4.92304367180378</v>
      </c>
      <c r="B2" s="0" t="n">
        <v>-0.456929672919909</v>
      </c>
      <c r="C2" s="0" t="n">
        <f aca="false">TRUE()</f>
        <v>1</v>
      </c>
      <c r="D2" s="0" t="n">
        <v>134.474177888632</v>
      </c>
      <c r="E2" s="0" t="n">
        <v>8.87298309234583</v>
      </c>
      <c r="F2" s="0" t="n">
        <v>164</v>
      </c>
      <c r="G2" s="0" t="n">
        <v>0.483001431305081</v>
      </c>
      <c r="H2" s="0" t="n">
        <v>3.67055631509243</v>
      </c>
      <c r="I2" s="0" t="n">
        <v>0.913800612263803</v>
      </c>
      <c r="J2" s="0" t="n">
        <v>-4.67769701499738</v>
      </c>
      <c r="K2" s="0" t="n">
        <v>-0.416913704157107</v>
      </c>
      <c r="L2" s="0" t="n">
        <f aca="false">SQRT((J2-H2)^2+(K2-I2)^2)</f>
        <v>8.45364621067638</v>
      </c>
      <c r="M2" s="0" t="n">
        <f aca="false">C2*(L2/MAX(E2,L2))</f>
        <v>0.952740033728771</v>
      </c>
      <c r="N2" s="0" t="n">
        <v>0.952740033728771</v>
      </c>
      <c r="O2" s="0" t="s">
        <v>18</v>
      </c>
      <c r="P2" s="0" t="n">
        <v>-4.92677</v>
      </c>
      <c r="Q2" s="0" t="n">
        <v>-0.830741</v>
      </c>
      <c r="R2" s="0" t="n">
        <v>36.5964903831482</v>
      </c>
    </row>
    <row r="3" customFormat="false" ht="13.8" hidden="false" customHeight="false" outlineLevel="0" collapsed="false">
      <c r="A3" s="0" t="n">
        <v>-4.92304367180378</v>
      </c>
      <c r="B3" s="0" t="n">
        <v>-0.456929672919909</v>
      </c>
      <c r="C3" s="0" t="n">
        <f aca="false">FALSE()</f>
        <v>0</v>
      </c>
      <c r="D3" s="0" t="n">
        <v>-167.429596552849</v>
      </c>
      <c r="E3" s="0" t="n">
        <v>0.229226254438516</v>
      </c>
      <c r="F3" s="0" t="n">
        <v>125</v>
      </c>
      <c r="G3" s="0" t="n">
        <v>7.35387545421144</v>
      </c>
      <c r="H3" s="0" t="n">
        <v>2.24374973746001</v>
      </c>
      <c r="I3" s="0" t="n">
        <v>-1.62663623949409</v>
      </c>
      <c r="J3" s="0" t="n">
        <v>2.36878793799956</v>
      </c>
      <c r="K3" s="0" t="n">
        <v>-1.75503455150028</v>
      </c>
      <c r="L3" s="0" t="n">
        <f aca="false">SQRT((J3-H3)^2+(K3-I3)^2)</f>
        <v>0.179222426387467</v>
      </c>
      <c r="M3" s="0" t="n">
        <f aca="false">C3*(L3/MAX(E3,L3))</f>
        <v>0</v>
      </c>
      <c r="N3" s="0" t="n">
        <v>0.269784162358094</v>
      </c>
      <c r="O3" s="0" t="s">
        <v>18</v>
      </c>
      <c r="P3" s="0" t="n">
        <v>-4.92677</v>
      </c>
      <c r="Q3" s="0" t="n">
        <v>-0.830741</v>
      </c>
      <c r="R3" s="0" t="n">
        <v>27.9996263980866</v>
      </c>
    </row>
    <row r="4" customFormat="false" ht="13.8" hidden="false" customHeight="false" outlineLevel="0" collapsed="false">
      <c r="A4" s="0" t="n">
        <v>-4.92304367180378</v>
      </c>
      <c r="B4" s="0" t="n">
        <v>-0.456929672919909</v>
      </c>
      <c r="C4" s="0" t="n">
        <f aca="false">FALSE()</f>
        <v>0</v>
      </c>
      <c r="D4" s="0" t="n">
        <v>-90.1548801440001</v>
      </c>
      <c r="E4" s="0" t="n">
        <v>2.72062993126998</v>
      </c>
      <c r="F4" s="0" t="n">
        <v>172</v>
      </c>
      <c r="G4" s="0" t="n">
        <v>1.75738720438158</v>
      </c>
      <c r="H4" s="0" t="n">
        <v>-0.657401879583865</v>
      </c>
      <c r="I4" s="0" t="n">
        <v>0.0646923099256568</v>
      </c>
      <c r="J4" s="0" t="n">
        <v>-3.35786221322898</v>
      </c>
      <c r="K4" s="0" t="n">
        <v>-0.0389467446953982</v>
      </c>
      <c r="L4" s="0" t="n">
        <f aca="false">SQRT((J4-H4)^2+(K4-I4)^2)</f>
        <v>2.70244834682061</v>
      </c>
      <c r="M4" s="0" t="n">
        <f aca="false">C4*(L4/MAX(E4,L4))</f>
        <v>0</v>
      </c>
      <c r="N4" s="0" t="n">
        <v>0.969858195839442</v>
      </c>
      <c r="O4" s="0" t="s">
        <v>18</v>
      </c>
      <c r="P4" s="0" t="n">
        <v>-4.92677</v>
      </c>
      <c r="Q4" s="0" t="n">
        <v>-0.830741</v>
      </c>
      <c r="R4" s="0" t="n">
        <v>38.4285547733307</v>
      </c>
    </row>
    <row r="5" customFormat="false" ht="13.8" hidden="false" customHeight="false" outlineLevel="0" collapsed="false">
      <c r="A5" s="0" t="n">
        <v>-4.92304367180378</v>
      </c>
      <c r="B5" s="0" t="n">
        <v>-0.456929672919909</v>
      </c>
      <c r="C5" s="0" t="n">
        <f aca="false">TRUE()</f>
        <v>1</v>
      </c>
      <c r="D5" s="0" t="n">
        <v>77.8374990272522</v>
      </c>
      <c r="E5" s="0" t="n">
        <v>11.0088456947756</v>
      </c>
      <c r="F5" s="0" t="n">
        <v>311</v>
      </c>
      <c r="G5" s="0" t="n">
        <v>0.664823700155455</v>
      </c>
      <c r="H5" s="0" t="n">
        <v>-1.93840263628397</v>
      </c>
      <c r="I5" s="0" t="n">
        <v>-0.32462567126715</v>
      </c>
      <c r="J5" s="0" t="n">
        <v>-4.90419187153859</v>
      </c>
      <c r="K5" s="0" t="n">
        <v>-0.16630079922677</v>
      </c>
      <c r="L5" s="0" t="n">
        <f aca="false">SQRT((J5-H5)^2+(K5-I5)^2)</f>
        <v>2.97001221429455</v>
      </c>
      <c r="M5" s="0" t="n">
        <f aca="false">C5*(L5/MAX(E5,L5))</f>
        <v>0.269784162358094</v>
      </c>
      <c r="N5" s="0" t="n">
        <v>0.98750094093991</v>
      </c>
      <c r="O5" s="0" t="s">
        <v>18</v>
      </c>
      <c r="P5" s="0" t="n">
        <v>-4.92677</v>
      </c>
      <c r="Q5" s="0" t="n">
        <v>-0.830741</v>
      </c>
      <c r="R5" s="0" t="n">
        <v>68.9503800868988</v>
      </c>
    </row>
    <row r="6" customFormat="false" ht="13.8" hidden="false" customHeight="false" outlineLevel="0" collapsed="false">
      <c r="A6" s="0" t="n">
        <v>-4.92304367180378</v>
      </c>
      <c r="B6" s="0" t="n">
        <v>-0.456929672919909</v>
      </c>
      <c r="C6" s="0" t="n">
        <f aca="false">TRUE()</f>
        <v>1</v>
      </c>
      <c r="D6" s="0" t="n">
        <v>62.8355299645662</v>
      </c>
      <c r="E6" s="0" t="n">
        <v>4.98111840291717</v>
      </c>
      <c r="F6" s="0" t="n">
        <v>190</v>
      </c>
      <c r="G6" s="0" t="n">
        <v>0.0974804929665718</v>
      </c>
      <c r="H6" s="0" t="n">
        <v>-0.0526528316202727</v>
      </c>
      <c r="I6" s="0" t="n">
        <v>-1.12489584844997</v>
      </c>
      <c r="J6" s="0" t="n">
        <v>-4.86922281912689</v>
      </c>
      <c r="K6" s="0" t="n">
        <v>-0.752059563291186</v>
      </c>
      <c r="L6" s="0" t="n">
        <f aca="false">SQRT((J6-H6)^2+(K6-I6)^2)</f>
        <v>4.83097850751589</v>
      </c>
      <c r="M6" s="0" t="n">
        <f aca="false">C6*(L6/MAX(E6,L6))</f>
        <v>0.969858195839442</v>
      </c>
      <c r="N6" s="0" t="n">
        <v>0.90536005586887</v>
      </c>
      <c r="O6" s="0" t="s">
        <v>18</v>
      </c>
      <c r="P6" s="0" t="n">
        <v>-4.92677</v>
      </c>
      <c r="Q6" s="0" t="n">
        <v>-0.830741</v>
      </c>
      <c r="R6" s="0" t="n">
        <v>42.597663640976</v>
      </c>
    </row>
    <row r="7" customFormat="false" ht="13.8" hidden="false" customHeight="false" outlineLevel="0" collapsed="false">
      <c r="A7" s="0" t="n">
        <v>-4.92304367180378</v>
      </c>
      <c r="B7" s="0" t="n">
        <v>-0.456929672919909</v>
      </c>
      <c r="C7" s="0" t="n">
        <f aca="false">TRUE()</f>
        <v>1</v>
      </c>
      <c r="D7" s="0" t="n">
        <v>131.434433481693</v>
      </c>
      <c r="E7" s="0" t="n">
        <v>5.70146325737039</v>
      </c>
      <c r="F7" s="0" t="n">
        <v>100</v>
      </c>
      <c r="G7" s="0" t="n">
        <v>0.481847482059469</v>
      </c>
      <c r="H7" s="0" t="n">
        <v>0.982158355298946</v>
      </c>
      <c r="I7" s="0" t="n">
        <v>-0.889549993106377</v>
      </c>
      <c r="J7" s="0" t="n">
        <v>-4.63089190482647</v>
      </c>
      <c r="K7" s="0" t="n">
        <v>-0.450434349041155</v>
      </c>
      <c r="L7" s="0" t="n">
        <f aca="false">SQRT((J7-H7)^2+(K7-I7)^2)</f>
        <v>5.63020033138758</v>
      </c>
      <c r="M7" s="0" t="n">
        <f aca="false">C7*(L7/MAX(E7,L7))</f>
        <v>0.98750094093991</v>
      </c>
      <c r="N7" s="0" t="n">
        <v>0.551373290414363</v>
      </c>
      <c r="O7" s="0" t="s">
        <v>18</v>
      </c>
      <c r="P7" s="0" t="n">
        <v>-4.92677</v>
      </c>
      <c r="Q7" s="0" t="n">
        <v>-0.830741</v>
      </c>
      <c r="R7" s="0" t="n">
        <v>22.4839553833008</v>
      </c>
    </row>
    <row r="8" customFormat="false" ht="13.8" hidden="false" customHeight="false" outlineLevel="0" collapsed="false">
      <c r="A8" s="0" t="n">
        <v>-4.92304367180378</v>
      </c>
      <c r="B8" s="0" t="n">
        <v>-0.456929672919909</v>
      </c>
      <c r="C8" s="0" t="n">
        <f aca="false">TRUE()</f>
        <v>1</v>
      </c>
      <c r="D8" s="0" t="n">
        <v>71.6323729795217</v>
      </c>
      <c r="E8" s="0" t="n">
        <v>4.54296692303103</v>
      </c>
      <c r="F8" s="0" t="n">
        <v>165</v>
      </c>
      <c r="G8" s="0" t="n">
        <v>0.514610734547152</v>
      </c>
      <c r="H8" s="0" t="n">
        <v>-0.776727691873174</v>
      </c>
      <c r="I8" s="0" t="n">
        <v>0.979520548002674</v>
      </c>
      <c r="J8" s="0" t="n">
        <v>-4.65335816009429</v>
      </c>
      <c r="K8" s="0" t="n">
        <v>-0.394770618081072</v>
      </c>
      <c r="L8" s="0" t="n">
        <f aca="false">SQRT((J8-H8)^2+(K8-I8)^2)</f>
        <v>4.11302078724581</v>
      </c>
      <c r="M8" s="0" t="n">
        <f aca="false">C8*(L8/MAX(E8,L8))</f>
        <v>0.90536005586887</v>
      </c>
      <c r="N8" s="0" t="n">
        <v>0.637108865399006</v>
      </c>
      <c r="O8" s="0" t="s">
        <v>18</v>
      </c>
      <c r="P8" s="0" t="n">
        <v>-4.92677</v>
      </c>
      <c r="Q8" s="0" t="n">
        <v>-0.830741</v>
      </c>
      <c r="R8" s="0" t="n">
        <v>36.9646461009979</v>
      </c>
    </row>
    <row r="9" customFormat="false" ht="13.8" hidden="false" customHeight="false" outlineLevel="0" collapsed="false">
      <c r="A9" s="0" t="n">
        <v>-4.92304367180378</v>
      </c>
      <c r="B9" s="0" t="n">
        <v>-0.456929672919909</v>
      </c>
      <c r="C9" s="0" t="n">
        <f aca="false">TRUE()</f>
        <v>1</v>
      </c>
      <c r="D9" s="0" t="n">
        <v>147.83908495307</v>
      </c>
      <c r="E9" s="0" t="n">
        <v>13.3398632461905</v>
      </c>
      <c r="F9" s="0" t="n">
        <v>257</v>
      </c>
      <c r="G9" s="0" t="n">
        <v>0.606806041985446</v>
      </c>
      <c r="H9" s="0" t="n">
        <v>2.33998270548039</v>
      </c>
      <c r="I9" s="0" t="n">
        <v>-0.513569267171534</v>
      </c>
      <c r="J9" s="0" t="n">
        <v>-5.00977936387055</v>
      </c>
      <c r="K9" s="0" t="n">
        <v>-0.229639496009327</v>
      </c>
      <c r="L9" s="0" t="n">
        <f aca="false">SQRT((J9-H9)^2+(K9-I9)^2)</f>
        <v>7.35524429172968</v>
      </c>
      <c r="M9" s="0" t="n">
        <f aca="false">C9*(L9/MAX(E9,L9))</f>
        <v>0.551373290414363</v>
      </c>
      <c r="N9" s="0" t="n">
        <v>0.85693484282902</v>
      </c>
      <c r="O9" s="0" t="s">
        <v>18</v>
      </c>
      <c r="P9" s="0" t="n">
        <v>-4.92677</v>
      </c>
      <c r="Q9" s="0" t="n">
        <v>-0.830741</v>
      </c>
      <c r="R9" s="0" t="n">
        <v>56.9044539928436</v>
      </c>
    </row>
    <row r="10" customFormat="false" ht="13.8" hidden="false" customHeight="false" outlineLevel="0" collapsed="false">
      <c r="A10" s="0" t="n">
        <v>-4.92304367180378</v>
      </c>
      <c r="B10" s="0" t="n">
        <v>-0.456929672919909</v>
      </c>
      <c r="C10" s="0" t="n">
        <f aca="false">FALSE()</f>
        <v>0</v>
      </c>
      <c r="D10" s="0" t="n">
        <v>-153.460786987543</v>
      </c>
      <c r="E10" s="0" t="n">
        <v>0.801878236231428</v>
      </c>
      <c r="F10" s="0" t="n">
        <v>109</v>
      </c>
      <c r="G10" s="0" t="n">
        <v>7.20013474353843</v>
      </c>
      <c r="H10" s="0" t="n">
        <v>1.88764223867485</v>
      </c>
      <c r="I10" s="0" t="n">
        <v>-1.02818261328757</v>
      </c>
      <c r="J10" s="0" t="n">
        <v>2.2578353565776</v>
      </c>
      <c r="K10" s="0" t="n">
        <v>-0.358103511701048</v>
      </c>
      <c r="L10" s="0" t="n">
        <f aca="false">SQRT((J10-H10)^2+(K10-I10)^2)</f>
        <v>0.765538337985478</v>
      </c>
      <c r="M10" s="0" t="n">
        <f aca="false">C10*(L10/MAX(E10,L10))</f>
        <v>0</v>
      </c>
      <c r="N10" s="0" t="n">
        <v>0.74028985379493</v>
      </c>
      <c r="O10" s="0" t="s">
        <v>18</v>
      </c>
      <c r="P10" s="0" t="n">
        <v>-4.92677</v>
      </c>
      <c r="Q10" s="0" t="n">
        <v>-0.830741</v>
      </c>
      <c r="R10" s="0" t="n">
        <v>24.5125210285187</v>
      </c>
    </row>
    <row r="11" customFormat="false" ht="13.8" hidden="false" customHeight="false" outlineLevel="0" collapsed="false">
      <c r="A11" s="0" t="n">
        <v>-4.92304367180378</v>
      </c>
      <c r="B11" s="0" t="n">
        <v>-0.456929672919909</v>
      </c>
      <c r="C11" s="0" t="n">
        <f aca="false">TRUE()</f>
        <v>1</v>
      </c>
      <c r="D11" s="0" t="n">
        <v>139.316328920722</v>
      </c>
      <c r="E11" s="0" t="n">
        <v>9.66894733679417</v>
      </c>
      <c r="F11" s="0" t="n">
        <v>181</v>
      </c>
      <c r="G11" s="0" t="n">
        <v>0.661543859784877</v>
      </c>
      <c r="H11" s="0" t="n">
        <v>1.17765729244313</v>
      </c>
      <c r="I11" s="0" t="n">
        <v>0.786128980642419</v>
      </c>
      <c r="J11" s="0" t="n">
        <v>-4.90794538862541</v>
      </c>
      <c r="K11" s="0" t="n">
        <v>-0.169465027031325</v>
      </c>
      <c r="L11" s="0" t="n">
        <f aca="false">SQRT((J11-H11)^2+(K11-I11)^2)</f>
        <v>6.16017206734768</v>
      </c>
      <c r="M11" s="0" t="n">
        <f aca="false">C11*(L11/MAX(E11,L11))</f>
        <v>0.637108865399006</v>
      </c>
      <c r="N11" s="0" t="n">
        <v>0.866693954636478</v>
      </c>
      <c r="O11" s="0" t="s">
        <v>18</v>
      </c>
      <c r="P11" s="0" t="n">
        <v>-4.92677</v>
      </c>
      <c r="Q11" s="0" t="n">
        <v>-0.830741</v>
      </c>
      <c r="R11" s="0" t="n">
        <v>40.3082673549652</v>
      </c>
    </row>
    <row r="12" customFormat="false" ht="13.8" hidden="false" customHeight="false" outlineLevel="0" collapsed="false">
      <c r="A12" s="0" t="n">
        <v>-4.98888938988018</v>
      </c>
      <c r="B12" s="0" t="n">
        <v>-4.971980846659</v>
      </c>
      <c r="C12" s="0" t="n">
        <f aca="false">TRUE()</f>
        <v>1</v>
      </c>
      <c r="D12" s="0" t="n">
        <v>-57.6754323959351</v>
      </c>
      <c r="E12" s="0" t="n">
        <v>9.90014322281041</v>
      </c>
      <c r="F12" s="0" t="n">
        <v>308</v>
      </c>
      <c r="G12" s="0" t="n">
        <v>0.954346398894956</v>
      </c>
      <c r="H12" s="0" t="n">
        <v>2.15596800833258</v>
      </c>
      <c r="I12" s="0" t="n">
        <v>0.850299350132643</v>
      </c>
      <c r="J12" s="0" t="n">
        <v>-4.81624231895745</v>
      </c>
      <c r="K12" s="0" t="n">
        <v>-3.98320526023146</v>
      </c>
      <c r="L12" s="0" t="n">
        <f aca="false">SQRT((J12-H12)^2+(K12-I12)^2)</f>
        <v>8.48377767662382</v>
      </c>
      <c r="M12" s="0" t="n">
        <f aca="false">C12*(L12/MAX(E12,L12))</f>
        <v>0.85693484282902</v>
      </c>
      <c r="N12" s="0" t="n">
        <v>0.667746996195324</v>
      </c>
      <c r="O12" s="0" t="s">
        <v>19</v>
      </c>
      <c r="P12" s="0" t="n">
        <v>-4.88103</v>
      </c>
      <c r="Q12" s="0" t="n">
        <v>-4.93535</v>
      </c>
      <c r="R12" s="0" t="n">
        <v>67.8796775341034</v>
      </c>
    </row>
    <row r="13" customFormat="false" ht="13.8" hidden="false" customHeight="false" outlineLevel="0" collapsed="false">
      <c r="A13" s="0" t="n">
        <v>-4.98888938988018</v>
      </c>
      <c r="B13" s="0" t="n">
        <v>-4.971980846659</v>
      </c>
      <c r="C13" s="0" t="n">
        <f aca="false">TRUE()</f>
        <v>1</v>
      </c>
      <c r="D13" s="0" t="n">
        <v>-69.4784515565634</v>
      </c>
      <c r="E13" s="0" t="n">
        <v>11.1661340401552</v>
      </c>
      <c r="F13" s="0" t="n">
        <v>366</v>
      </c>
      <c r="G13" s="0" t="n">
        <v>0.955124400621638</v>
      </c>
      <c r="H13" s="0" t="n">
        <v>2.49365854881268</v>
      </c>
      <c r="I13" s="0" t="n">
        <v>-0.0885835260223268</v>
      </c>
      <c r="J13" s="0" t="n">
        <v>-4.79716132584879</v>
      </c>
      <c r="K13" s="0" t="n">
        <v>-3.98391494380385</v>
      </c>
      <c r="L13" s="0" t="n">
        <f aca="false">SQRT((J13-H13)^2+(K13-I13)^2)</f>
        <v>8.26617573604109</v>
      </c>
      <c r="M13" s="0" t="n">
        <f aca="false">C13*(L13/MAX(E13,L13))</f>
        <v>0.74028985379493</v>
      </c>
      <c r="N13" s="0" t="n">
        <v>0.552118474148805</v>
      </c>
      <c r="O13" s="0" t="s">
        <v>19</v>
      </c>
      <c r="P13" s="0" t="n">
        <v>-4.88103</v>
      </c>
      <c r="Q13" s="0" t="n">
        <v>-4.93535</v>
      </c>
      <c r="R13" s="0" t="n">
        <v>81.4833080768585</v>
      </c>
    </row>
    <row r="14" customFormat="false" ht="13.8" hidden="false" customHeight="false" outlineLevel="0" collapsed="false">
      <c r="A14" s="0" t="n">
        <v>-4.98888938988018</v>
      </c>
      <c r="B14" s="0" t="n">
        <v>-4.971980846659</v>
      </c>
      <c r="C14" s="0" t="n">
        <f aca="false">TRUE()</f>
        <v>1</v>
      </c>
      <c r="D14" s="0" t="n">
        <v>-67.8377150732279</v>
      </c>
      <c r="E14" s="0" t="n">
        <v>5.98934435169292</v>
      </c>
      <c r="F14" s="0" t="n">
        <v>238</v>
      </c>
      <c r="G14" s="0" t="n">
        <v>0.952647261170683</v>
      </c>
      <c r="H14" s="0" t="n">
        <v>-0.84648795931839</v>
      </c>
      <c r="I14" s="0" t="n">
        <v>-0.655790200811187</v>
      </c>
      <c r="J14" s="0" t="n">
        <v>-4.82998967068237</v>
      </c>
      <c r="K14" s="0" t="n">
        <v>-3.98407102462046</v>
      </c>
      <c r="L14" s="0" t="n">
        <f aca="false">SQRT((J14-H14)^2+(K14-I14)^2)</f>
        <v>5.19092854184839</v>
      </c>
      <c r="M14" s="0" t="n">
        <f aca="false">C14*(L14/MAX(E14,L14))</f>
        <v>0.866693954636478</v>
      </c>
      <c r="N14" s="0" t="n">
        <v>0.810319236769386</v>
      </c>
      <c r="O14" s="0" t="s">
        <v>19</v>
      </c>
      <c r="P14" s="0" t="n">
        <v>-4.88103</v>
      </c>
      <c r="Q14" s="0" t="n">
        <v>-4.93535</v>
      </c>
      <c r="R14" s="0" t="n">
        <v>52.8474769592285</v>
      </c>
    </row>
    <row r="15" customFormat="false" ht="13.8" hidden="false" customHeight="false" outlineLevel="0" collapsed="false">
      <c r="A15" s="0" t="n">
        <v>-4.98888938988018</v>
      </c>
      <c r="B15" s="0" t="n">
        <v>-4.971980846659</v>
      </c>
      <c r="C15" s="0" t="n">
        <f aca="false">TRUE()</f>
        <v>1</v>
      </c>
      <c r="D15" s="0" t="n">
        <v>-3.47934010684491</v>
      </c>
      <c r="E15" s="0" t="n">
        <v>12.0588887842022</v>
      </c>
      <c r="F15" s="0" t="n">
        <v>400</v>
      </c>
      <c r="G15" s="0" t="n">
        <v>0.943233687977331</v>
      </c>
      <c r="H15" s="0" t="n">
        <v>0.453855043757195</v>
      </c>
      <c r="I15" s="0" t="n">
        <v>1.96907830410808</v>
      </c>
      <c r="J15" s="0" t="n">
        <v>-4.95611576721537</v>
      </c>
      <c r="K15" s="0" t="n">
        <v>-3.99510964897427</v>
      </c>
      <c r="L15" s="0" t="n">
        <f aca="false">SQRT((J15-H15)^2+(K15-I15)^2)</f>
        <v>8.05228676310449</v>
      </c>
      <c r="M15" s="0" t="n">
        <f aca="false">C15*(L15/MAX(E15,L15))</f>
        <v>0.667746996195324</v>
      </c>
      <c r="N15" s="0" t="n">
        <v>0.860707319106121</v>
      </c>
      <c r="O15" s="0" t="s">
        <v>19</v>
      </c>
      <c r="P15" s="0" t="n">
        <v>-4.88103</v>
      </c>
      <c r="Q15" s="0" t="n">
        <v>-4.93535</v>
      </c>
      <c r="R15" s="0" t="n">
        <v>88.6188809871674</v>
      </c>
    </row>
    <row r="16" customFormat="false" ht="13.8" hidden="false" customHeight="false" outlineLevel="0" collapsed="false">
      <c r="A16" s="0" t="n">
        <v>-4.98888938988018</v>
      </c>
      <c r="B16" s="0" t="n">
        <v>-4.971980846659</v>
      </c>
      <c r="C16" s="0" t="n">
        <f aca="false">TRUE()</f>
        <v>1</v>
      </c>
      <c r="D16" s="0" t="n">
        <v>-62.049305061698</v>
      </c>
      <c r="E16" s="0" t="n">
        <v>10.8595315101356</v>
      </c>
      <c r="F16" s="0" t="n">
        <v>341</v>
      </c>
      <c r="G16" s="0" t="n">
        <v>0.952674852091118</v>
      </c>
      <c r="H16" s="0" t="n">
        <v>0.776296953563543</v>
      </c>
      <c r="I16" s="0" t="n">
        <v>-1.85464174557992</v>
      </c>
      <c r="J16" s="0" t="n">
        <v>-4.82854993758093</v>
      </c>
      <c r="K16" s="0" t="n">
        <v>-3.98412173251878</v>
      </c>
      <c r="L16" s="0" t="n">
        <f aca="false">SQRT((J16-H16)^2+(K16-I16)^2)</f>
        <v>5.99574796734694</v>
      </c>
      <c r="M16" s="0" t="n">
        <f aca="false">C16*(L16/MAX(E16,L16))</f>
        <v>0.552118474148805</v>
      </c>
      <c r="N16" s="0" t="n">
        <v>0.779453267795475</v>
      </c>
      <c r="O16" s="0" t="s">
        <v>19</v>
      </c>
      <c r="P16" s="0" t="n">
        <v>-4.88103</v>
      </c>
      <c r="Q16" s="0" t="n">
        <v>-4.93535</v>
      </c>
      <c r="R16" s="0" t="n">
        <v>76.1865658760071</v>
      </c>
    </row>
    <row r="17" customFormat="false" ht="13.8" hidden="false" customHeight="false" outlineLevel="0" collapsed="false">
      <c r="A17" s="0" t="n">
        <v>-4.98888938988018</v>
      </c>
      <c r="B17" s="0" t="n">
        <v>-4.971980846659</v>
      </c>
      <c r="C17" s="0" t="n">
        <f aca="false">TRUE()</f>
        <v>1</v>
      </c>
      <c r="D17" s="0" t="n">
        <v>-83.6225367200375</v>
      </c>
      <c r="E17" s="0" t="n">
        <v>11.432559817228</v>
      </c>
      <c r="F17" s="0" t="n">
        <v>347</v>
      </c>
      <c r="G17" s="0" t="n">
        <v>0.94682297455803</v>
      </c>
      <c r="H17" s="0" t="n">
        <v>4.17851843360623</v>
      </c>
      <c r="I17" s="0" t="n">
        <v>-1.72403712994399</v>
      </c>
      <c r="J17" s="0" t="n">
        <v>-4.80367876388173</v>
      </c>
      <c r="K17" s="0" t="n">
        <v>-3.99169194147356</v>
      </c>
      <c r="L17" s="0" t="n">
        <f aca="false">SQRT((J17-H17)^2+(K17-I17)^2)</f>
        <v>9.26402314541656</v>
      </c>
      <c r="M17" s="0" t="n">
        <f aca="false">C17*(L17/MAX(E17,L17))</f>
        <v>0.810319236769386</v>
      </c>
      <c r="N17" s="0" t="n">
        <v>0.877460134110354</v>
      </c>
      <c r="O17" s="0" t="s">
        <v>19</v>
      </c>
      <c r="P17" s="0" t="n">
        <v>-4.88103</v>
      </c>
      <c r="Q17" s="0" t="n">
        <v>-4.93535</v>
      </c>
      <c r="R17" s="0" t="n">
        <v>77.3718590736389</v>
      </c>
    </row>
    <row r="18" customFormat="false" ht="13.8" hidden="false" customHeight="false" outlineLevel="0" collapsed="false">
      <c r="A18" s="0" t="n">
        <v>-4.98888938988018</v>
      </c>
      <c r="B18" s="0" t="n">
        <v>-4.971980846659</v>
      </c>
      <c r="C18" s="0" t="n">
        <f aca="false">FALSE()</f>
        <v>0</v>
      </c>
      <c r="D18" s="0" t="n">
        <v>-54.8239292961359</v>
      </c>
      <c r="E18" s="0" t="n">
        <v>13.2436890636568</v>
      </c>
      <c r="F18" s="0" t="n">
        <v>344</v>
      </c>
      <c r="G18" s="0" t="n">
        <v>4.82856703308758</v>
      </c>
      <c r="H18" s="0" t="n">
        <v>1.59450333629493</v>
      </c>
      <c r="I18" s="0" t="n">
        <v>1.12799732716061</v>
      </c>
      <c r="J18" s="0" t="n">
        <v>-1.16983584162626</v>
      </c>
      <c r="K18" s="0" t="n">
        <v>-1.84632142909412</v>
      </c>
      <c r="L18" s="0" t="n">
        <f aca="false">SQRT((J18-H18)^2+(K18-I18)^2)</f>
        <v>4.06055946322655</v>
      </c>
      <c r="M18" s="0" t="n">
        <f aca="false">C18*(L18/MAX(E18,L18))</f>
        <v>0</v>
      </c>
      <c r="N18" s="0" t="n">
        <v>0.979532419976476</v>
      </c>
      <c r="O18" s="0" t="s">
        <v>19</v>
      </c>
      <c r="P18" s="0" t="n">
        <v>-4.88103</v>
      </c>
      <c r="Q18" s="0" t="n">
        <v>-4.93535</v>
      </c>
      <c r="R18" s="0" t="n">
        <v>76.4412519931793</v>
      </c>
    </row>
    <row r="19" customFormat="false" ht="13.8" hidden="false" customHeight="false" outlineLevel="0" collapsed="false">
      <c r="A19" s="0" t="n">
        <v>-4.98888938988018</v>
      </c>
      <c r="B19" s="0" t="n">
        <v>-4.971980846659</v>
      </c>
      <c r="C19" s="0" t="n">
        <f aca="false">FALSE()</f>
        <v>0</v>
      </c>
      <c r="D19" s="0" t="n">
        <v>-174.511910013557</v>
      </c>
      <c r="E19" s="0" t="n">
        <v>2.23768047864824</v>
      </c>
      <c r="F19" s="0" t="n">
        <v>180</v>
      </c>
      <c r="G19" s="0" t="n">
        <v>8.36581549241696</v>
      </c>
      <c r="H19" s="0" t="n">
        <v>-0.587521772062291</v>
      </c>
      <c r="I19" s="0" t="n">
        <v>0.549873470793205</v>
      </c>
      <c r="J19" s="0" t="n">
        <v>-0.514689646896843</v>
      </c>
      <c r="K19" s="0" t="n">
        <v>2.20061109672877</v>
      </c>
      <c r="L19" s="0" t="n">
        <f aca="false">SQRT((J19-H19)^2+(K19-I19)^2)</f>
        <v>1.65234355632705</v>
      </c>
      <c r="M19" s="0" t="n">
        <f aca="false">C19*(L19/MAX(E19,L19))</f>
        <v>0</v>
      </c>
      <c r="N19" s="0" t="n">
        <v>0.938708884255351</v>
      </c>
      <c r="O19" s="0" t="s">
        <v>19</v>
      </c>
      <c r="P19" s="0" t="n">
        <v>-4.88103</v>
      </c>
      <c r="Q19" s="0" t="n">
        <v>-4.93535</v>
      </c>
      <c r="R19" s="0" t="n">
        <v>40.4162273406982</v>
      </c>
    </row>
    <row r="20" customFormat="false" ht="13.8" hidden="false" customHeight="false" outlineLevel="0" collapsed="false">
      <c r="A20" s="0" t="n">
        <v>-4.98888938988018</v>
      </c>
      <c r="B20" s="0" t="n">
        <v>-4.971980846659</v>
      </c>
      <c r="C20" s="0" t="n">
        <f aca="false">FALSE()</f>
        <v>0</v>
      </c>
      <c r="D20" s="0" t="n">
        <v>-94.4633086425066</v>
      </c>
      <c r="E20" s="0" t="n">
        <v>0.951322043708408</v>
      </c>
      <c r="F20" s="0" t="n">
        <v>120</v>
      </c>
      <c r="G20" s="0" t="n">
        <v>4.63382407420133</v>
      </c>
      <c r="H20" s="0" t="n">
        <v>-0.758086936859219</v>
      </c>
      <c r="I20" s="0" t="n">
        <v>-1.44208439274809</v>
      </c>
      <c r="J20" s="0" t="n">
        <v>-1.03514918202997</v>
      </c>
      <c r="K20" s="0" t="n">
        <v>-2.35048515157599</v>
      </c>
      <c r="L20" s="0" t="n">
        <f aca="false">SQRT((J20-H20)^2+(K20-I20)^2)</f>
        <v>0.949713339033502</v>
      </c>
      <c r="M20" s="0" t="n">
        <f aca="false">C20*(L20/MAX(E20,L20))</f>
        <v>0</v>
      </c>
      <c r="N20" s="0" t="n">
        <v>0.899400991942872</v>
      </c>
      <c r="O20" s="0" t="s">
        <v>19</v>
      </c>
      <c r="P20" s="0" t="n">
        <v>-4.88103</v>
      </c>
      <c r="Q20" s="0" t="n">
        <v>-4.93535</v>
      </c>
      <c r="R20" s="0" t="n">
        <v>26.7451190948486</v>
      </c>
    </row>
    <row r="21" customFormat="false" ht="13.8" hidden="false" customHeight="false" outlineLevel="0" collapsed="false">
      <c r="A21" s="0" t="n">
        <v>-4.98888938988018</v>
      </c>
      <c r="B21" s="0" t="n">
        <v>-4.971980846659</v>
      </c>
      <c r="C21" s="0" t="n">
        <f aca="false">TRUE()</f>
        <v>1</v>
      </c>
      <c r="D21" s="0" t="n">
        <v>-76.803007055521</v>
      </c>
      <c r="E21" s="0" t="n">
        <v>5.82611223483091</v>
      </c>
      <c r="F21" s="0" t="n">
        <v>246</v>
      </c>
      <c r="G21" s="0" t="n">
        <v>0.955523875710606</v>
      </c>
      <c r="H21" s="0" t="n">
        <v>-0.895821219305939</v>
      </c>
      <c r="I21" s="0" t="n">
        <v>-0.835318246531977</v>
      </c>
      <c r="J21" s="0" t="n">
        <v>-4.79914524361204</v>
      </c>
      <c r="K21" s="0" t="n">
        <v>-3.98334119556366</v>
      </c>
      <c r="L21" s="0" t="n">
        <f aca="false">SQRT((J21-H21)^2+(K21-I21)^2)</f>
        <v>5.01457744245268</v>
      </c>
      <c r="M21" s="0" t="n">
        <f aca="false">C21*(L21/MAX(E21,L21))</f>
        <v>0.860707319106121</v>
      </c>
      <c r="N21" s="0" t="n">
        <v>0.817259158896473</v>
      </c>
      <c r="O21" s="0" t="s">
        <v>19</v>
      </c>
      <c r="P21" s="0" t="n">
        <v>-4.88103</v>
      </c>
      <c r="Q21" s="0" t="n">
        <v>-4.93535</v>
      </c>
      <c r="R21" s="0" t="n">
        <v>54.2839052677155</v>
      </c>
    </row>
    <row r="22" customFormat="false" ht="13.8" hidden="false" customHeight="false" outlineLevel="0" collapsed="false">
      <c r="A22" s="0" t="n">
        <v>-0.698534463145029</v>
      </c>
      <c r="B22" s="0" t="n">
        <v>5</v>
      </c>
      <c r="C22" s="0" t="n">
        <f aca="false">TRUE()</f>
        <v>1</v>
      </c>
      <c r="D22" s="0" t="n">
        <v>98.3702995485067</v>
      </c>
      <c r="E22" s="0" t="n">
        <v>6.8638930829662</v>
      </c>
      <c r="F22" s="0" t="n">
        <v>173</v>
      </c>
      <c r="G22" s="0" t="n">
        <v>0.387022650637694</v>
      </c>
      <c r="H22" s="0" t="n">
        <v>1.31635502513227</v>
      </c>
      <c r="I22" s="0" t="n">
        <v>-0.274099843725155</v>
      </c>
      <c r="J22" s="0" t="n">
        <v>-0.634599411391787</v>
      </c>
      <c r="K22" s="0" t="n">
        <v>4.70758405352631</v>
      </c>
      <c r="L22" s="0" t="n">
        <f aca="false">SQRT((J22-H22)^2+(K22-I22)^2)</f>
        <v>5.35008389331676</v>
      </c>
      <c r="M22" s="0" t="n">
        <f aca="false">C22*(L22/MAX(E22,L22))</f>
        <v>0.779453267795475</v>
      </c>
      <c r="N22" s="0" t="n">
        <v>0.949912420183718</v>
      </c>
      <c r="O22" s="0" t="s">
        <v>20</v>
      </c>
      <c r="P22" s="0" t="n">
        <v>-0.529844</v>
      </c>
      <c r="Q22" s="0" t="n">
        <v>5.08016</v>
      </c>
      <c r="R22" s="0" t="n">
        <v>38.6806836128235</v>
      </c>
    </row>
    <row r="23" customFormat="false" ht="13.8" hidden="false" customHeight="false" outlineLevel="0" collapsed="false">
      <c r="A23" s="0" t="n">
        <v>-0.698534463145029</v>
      </c>
      <c r="B23" s="0" t="n">
        <v>5</v>
      </c>
      <c r="C23" s="0" t="n">
        <f aca="false">FALSE()</f>
        <v>0</v>
      </c>
      <c r="D23" s="0" t="n">
        <v>-112.3234153229</v>
      </c>
      <c r="E23" s="0" t="n">
        <v>0.123241980512117</v>
      </c>
      <c r="F23" s="0" t="n">
        <v>126</v>
      </c>
      <c r="G23" s="0" t="n">
        <v>3.18997561611501</v>
      </c>
      <c r="H23" s="0" t="n">
        <v>-0.196562373917614</v>
      </c>
      <c r="I23" s="0" t="n">
        <v>1.91743477930211</v>
      </c>
      <c r="J23" s="0" t="n">
        <v>-0.307424857369336</v>
      </c>
      <c r="K23" s="0" t="n">
        <v>1.89794785176101</v>
      </c>
      <c r="L23" s="0" t="n">
        <f aca="false">SQRT((J23-H23)^2+(K23-I23)^2)</f>
        <v>0.112562118770372</v>
      </c>
      <c r="M23" s="0" t="n">
        <f aca="false">C23*(L23/MAX(E23,L23))</f>
        <v>0</v>
      </c>
      <c r="N23" s="0" t="n">
        <v>0.97961533052976</v>
      </c>
      <c r="O23" s="0" t="s">
        <v>20</v>
      </c>
      <c r="P23" s="0" t="n">
        <v>-0.529844</v>
      </c>
      <c r="Q23" s="0" t="n">
        <v>5.08016</v>
      </c>
      <c r="R23" s="0" t="n">
        <v>28.1250855922699</v>
      </c>
    </row>
    <row r="24" customFormat="false" ht="13.8" hidden="false" customHeight="false" outlineLevel="0" collapsed="false">
      <c r="A24" s="0" t="n">
        <v>-0.698534463145029</v>
      </c>
      <c r="B24" s="0" t="n">
        <v>5</v>
      </c>
      <c r="C24" s="0" t="n">
        <f aca="false">TRUE()</f>
        <v>1</v>
      </c>
      <c r="D24" s="0" t="n">
        <v>106.339012215734</v>
      </c>
      <c r="E24" s="0" t="n">
        <v>7.86490915560615</v>
      </c>
      <c r="F24" s="0" t="n">
        <v>205</v>
      </c>
      <c r="G24" s="0" t="n">
        <v>0.408526173559109</v>
      </c>
      <c r="H24" s="0" t="n">
        <v>0.159400521619198</v>
      </c>
      <c r="I24" s="0" t="n">
        <v>-2.10214936172066</v>
      </c>
      <c r="J24" s="0" t="n">
        <v>-0.753567212203534</v>
      </c>
      <c r="K24" s="0" t="n">
        <v>4.73833905446831</v>
      </c>
      <c r="L24" s="0" t="n">
        <f aca="false">SQRT((J24-H24)^2+(K24-I24)^2)</f>
        <v>6.90114424244392</v>
      </c>
      <c r="M24" s="0" t="n">
        <f aca="false">C24*(L24/MAX(E24,L24))</f>
        <v>0.877460134110354</v>
      </c>
      <c r="N24" s="0" t="n">
        <v>0.436597579248601</v>
      </c>
      <c r="O24" s="0" t="s">
        <v>20</v>
      </c>
      <c r="P24" s="0" t="n">
        <v>-0.529844</v>
      </c>
      <c r="Q24" s="0" t="n">
        <v>5.08016</v>
      </c>
      <c r="R24" s="0" t="n">
        <v>45.9328649044037</v>
      </c>
    </row>
    <row r="25" customFormat="false" ht="13.8" hidden="false" customHeight="false" outlineLevel="0" collapsed="false">
      <c r="A25" s="0" t="n">
        <v>-0.698534463145029</v>
      </c>
      <c r="B25" s="0" t="n">
        <v>5</v>
      </c>
      <c r="C25" s="0" t="n">
        <f aca="false">TRUE()</f>
        <v>1</v>
      </c>
      <c r="D25" s="0" t="n">
        <v>109.667670501471</v>
      </c>
      <c r="E25" s="0" t="n">
        <v>3.68065269013733</v>
      </c>
      <c r="F25" s="0" t="n">
        <v>69</v>
      </c>
      <c r="G25" s="0" t="n">
        <v>0.449500063979337</v>
      </c>
      <c r="H25" s="0" t="n">
        <v>0.543848621061562</v>
      </c>
      <c r="I25" s="0" t="n">
        <v>1.39435056362679</v>
      </c>
      <c r="J25" s="0" t="n">
        <v>-0.815895170403797</v>
      </c>
      <c r="K25" s="0" t="n">
        <v>4.73342517996018</v>
      </c>
      <c r="L25" s="0" t="n">
        <f aca="false">SQRT((J25-H25)^2+(K25-I25)^2)</f>
        <v>3.60531863666314</v>
      </c>
      <c r="M25" s="0" t="n">
        <f aca="false">C25*(L25/MAX(E25,L25))</f>
        <v>0.979532419976476</v>
      </c>
      <c r="N25" s="0" t="n">
        <v>0.415375874004248</v>
      </c>
      <c r="O25" s="0" t="s">
        <v>20</v>
      </c>
      <c r="P25" s="0" t="n">
        <v>-0.529844</v>
      </c>
      <c r="Q25" s="0" t="n">
        <v>5.08016</v>
      </c>
      <c r="R25" s="0" t="n">
        <v>15.6010315418243</v>
      </c>
    </row>
    <row r="26" customFormat="false" ht="13.8" hidden="false" customHeight="false" outlineLevel="0" collapsed="false">
      <c r="A26" s="0" t="n">
        <v>-0.698534463145029</v>
      </c>
      <c r="B26" s="0" t="n">
        <v>5</v>
      </c>
      <c r="C26" s="0" t="n">
        <f aca="false">FALSE()</f>
        <v>0</v>
      </c>
      <c r="D26" s="0" t="n">
        <v>-156.218299066424</v>
      </c>
      <c r="E26" s="0" t="n">
        <v>0.685157728915163</v>
      </c>
      <c r="F26" s="0" t="n">
        <v>135</v>
      </c>
      <c r="G26" s="0" t="n">
        <v>8.61258056332655</v>
      </c>
      <c r="H26" s="0" t="n">
        <v>4.05598785935195</v>
      </c>
      <c r="I26" s="0" t="n">
        <v>-1.44015957442179</v>
      </c>
      <c r="J26" s="0" t="n">
        <v>4.39415414536646</v>
      </c>
      <c r="K26" s="0" t="n">
        <v>-1.98601196395742</v>
      </c>
      <c r="L26" s="0" t="n">
        <f aca="false">SQRT((J26-H26)^2+(K26-I26)^2)</f>
        <v>0.642114684584158</v>
      </c>
      <c r="M26" s="0" t="n">
        <f aca="false">C26*(L26/MAX(E26,L26))</f>
        <v>0</v>
      </c>
      <c r="N26" s="0" t="n">
        <v>0.739830787827346</v>
      </c>
      <c r="O26" s="0" t="s">
        <v>20</v>
      </c>
      <c r="P26" s="0" t="n">
        <v>-0.529844</v>
      </c>
      <c r="Q26" s="0" t="n">
        <v>5.08016</v>
      </c>
      <c r="R26" s="0" t="n">
        <v>30.1162762641907</v>
      </c>
    </row>
    <row r="27" customFormat="false" ht="13.8" hidden="false" customHeight="false" outlineLevel="0" collapsed="false">
      <c r="A27" s="0" t="n">
        <v>-0.698534463145029</v>
      </c>
      <c r="B27" s="0" t="n">
        <v>5</v>
      </c>
      <c r="C27" s="0" t="n">
        <f aca="false">FALSE()</f>
        <v>0</v>
      </c>
      <c r="D27" s="0" t="n">
        <v>-68.2340921860934</v>
      </c>
      <c r="E27" s="0" t="n">
        <v>8.066204899652</v>
      </c>
      <c r="F27" s="0" t="n">
        <v>143</v>
      </c>
      <c r="G27" s="0" t="n">
        <v>1.00360028532819</v>
      </c>
      <c r="H27" s="0" t="n">
        <v>-2.97979182126606</v>
      </c>
      <c r="I27" s="0" t="n">
        <v>0.520437701270908</v>
      </c>
      <c r="J27" s="0" t="n">
        <v>-0.0522286651850183</v>
      </c>
      <c r="K27" s="0" t="n">
        <v>4.19749521387766</v>
      </c>
      <c r="L27" s="0" t="n">
        <f aca="false">SQRT((J27-H27)^2+(K27-I27)^2)</f>
        <v>4.70014659174168</v>
      </c>
      <c r="M27" s="0" t="n">
        <f aca="false">C27*(L27/MAX(E27,L27))</f>
        <v>0</v>
      </c>
      <c r="N27" s="0" t="n">
        <v>0.517101700838948</v>
      </c>
      <c r="O27" s="0" t="s">
        <v>20</v>
      </c>
      <c r="P27" s="0" t="n">
        <v>-0.529844</v>
      </c>
      <c r="Q27" s="0" t="n">
        <v>5.08016</v>
      </c>
      <c r="R27" s="0" t="n">
        <v>31.9955728054047</v>
      </c>
    </row>
    <row r="28" customFormat="false" ht="13.8" hidden="false" customHeight="false" outlineLevel="0" collapsed="false">
      <c r="A28" s="0" t="n">
        <v>-0.698534463145029</v>
      </c>
      <c r="B28" s="0" t="n">
        <v>5</v>
      </c>
      <c r="C28" s="0" t="n">
        <f aca="false">FALSE()</f>
        <v>0</v>
      </c>
      <c r="D28" s="0" t="n">
        <v>-75.9033043968678</v>
      </c>
      <c r="E28" s="0" t="n">
        <v>8.23174153080949</v>
      </c>
      <c r="F28" s="0" t="n">
        <v>151</v>
      </c>
      <c r="G28" s="0" t="n">
        <v>1.06116901940282</v>
      </c>
      <c r="H28" s="0" t="n">
        <v>-1.49632085864619</v>
      </c>
      <c r="I28" s="0" t="n">
        <v>-0.646468085605135</v>
      </c>
      <c r="J28" s="0" t="n">
        <v>0.105177786963704</v>
      </c>
      <c r="K28" s="0" t="n">
        <v>4.22996765833738</v>
      </c>
      <c r="L28" s="0" t="n">
        <f aca="false">SQRT((J28-H28)^2+(K28-I28)^2)</f>
        <v>5.13268189903588</v>
      </c>
      <c r="M28" s="0" t="n">
        <f aca="false">C28*(L28/MAX(E28,L28))</f>
        <v>0</v>
      </c>
      <c r="N28" s="0" t="n">
        <v>0.534775249317074</v>
      </c>
      <c r="O28" s="0" t="s">
        <v>20</v>
      </c>
      <c r="P28" s="0" t="n">
        <v>-0.529844</v>
      </c>
      <c r="Q28" s="0" t="n">
        <v>5.08016</v>
      </c>
      <c r="R28" s="0" t="n">
        <v>33.424916267395</v>
      </c>
    </row>
    <row r="29" customFormat="false" ht="13.8" hidden="false" customHeight="false" outlineLevel="0" collapsed="false">
      <c r="A29" s="0" t="n">
        <v>-0.698534463145029</v>
      </c>
      <c r="B29" s="0" t="n">
        <v>5</v>
      </c>
      <c r="C29" s="0" t="n">
        <f aca="false">TRUE()</f>
        <v>1</v>
      </c>
      <c r="D29" s="0" t="n">
        <v>-64.3700940740109</v>
      </c>
      <c r="E29" s="0" t="n">
        <v>8.0764020839628</v>
      </c>
      <c r="F29" s="0" t="n">
        <v>146</v>
      </c>
      <c r="G29" s="0" t="n">
        <v>0.476239099064727</v>
      </c>
      <c r="H29" s="0" t="n">
        <v>0.099369436403015</v>
      </c>
      <c r="I29" s="0" t="n">
        <v>-2.9483264856066</v>
      </c>
      <c r="J29" s="0" t="n">
        <v>-0.556313343576979</v>
      </c>
      <c r="K29" s="0" t="n">
        <v>4.60465705223986</v>
      </c>
      <c r="L29" s="0" t="n">
        <f aca="false">SQRT((J29-H29)^2+(K29-I29)^2)</f>
        <v>7.58139038903432</v>
      </c>
      <c r="M29" s="0" t="n">
        <f aca="false">C29*(L29/MAX(E29,L29))</f>
        <v>0.938708884255351</v>
      </c>
      <c r="N29" s="0" t="n">
        <v>0.883630521962548</v>
      </c>
      <c r="O29" s="0" t="s">
        <v>20</v>
      </c>
      <c r="P29" s="0" t="n">
        <v>-0.529844</v>
      </c>
      <c r="Q29" s="0" t="n">
        <v>5.08016</v>
      </c>
      <c r="R29" s="0" t="n">
        <v>32.4808275699615</v>
      </c>
    </row>
    <row r="30" customFormat="false" ht="13.8" hidden="false" customHeight="false" outlineLevel="0" collapsed="false">
      <c r="A30" s="0" t="n">
        <v>-0.698534463145029</v>
      </c>
      <c r="B30" s="0" t="n">
        <v>5</v>
      </c>
      <c r="C30" s="0" t="n">
        <f aca="false">FALSE()</f>
        <v>0</v>
      </c>
      <c r="D30" s="0" t="n">
        <v>-95.1670176661015</v>
      </c>
      <c r="E30" s="0" t="n">
        <v>4.12046044347803</v>
      </c>
      <c r="F30" s="0" t="n">
        <v>90</v>
      </c>
      <c r="G30" s="0" t="n">
        <v>1.07559993046279</v>
      </c>
      <c r="H30" s="0" t="n">
        <v>1.14680767033157</v>
      </c>
      <c r="I30" s="0" t="n">
        <v>0.598633518203975</v>
      </c>
      <c r="J30" s="0" t="n">
        <v>0.141227258717042</v>
      </c>
      <c r="K30" s="0" t="n">
        <v>4.2395777160233</v>
      </c>
      <c r="L30" s="0" t="n">
        <f aca="false">SQRT((J30-H30)^2+(K30-I30)^2)</f>
        <v>3.77725649325765</v>
      </c>
      <c r="M30" s="0" t="n">
        <f aca="false">C30*(L30/MAX(E30,L30))</f>
        <v>0</v>
      </c>
      <c r="N30" s="0" t="n">
        <v>0.883719049719751</v>
      </c>
      <c r="O30" s="0" t="s">
        <v>20</v>
      </c>
      <c r="P30" s="0" t="n">
        <v>-0.529844</v>
      </c>
      <c r="Q30" s="0" t="n">
        <v>5.08016</v>
      </c>
      <c r="R30" s="0" t="n">
        <v>20.1210436820984</v>
      </c>
    </row>
    <row r="31" customFormat="false" ht="13.8" hidden="false" customHeight="false" outlineLevel="0" collapsed="false">
      <c r="A31" s="0" t="n">
        <v>-0.698534463145029</v>
      </c>
      <c r="B31" s="0" t="n">
        <v>5</v>
      </c>
      <c r="C31" s="0" t="n">
        <f aca="false">TRUE()</f>
        <v>1</v>
      </c>
      <c r="D31" s="0" t="n">
        <v>99.4436597424746</v>
      </c>
      <c r="E31" s="0" t="n">
        <v>3.62770587116062</v>
      </c>
      <c r="F31" s="0" t="n">
        <v>70</v>
      </c>
      <c r="G31" s="0" t="n">
        <v>0.463487546318053</v>
      </c>
      <c r="H31" s="0" t="n">
        <v>0.774943929079705</v>
      </c>
      <c r="I31" s="0" t="n">
        <v>1.91493725240729</v>
      </c>
      <c r="J31" s="0" t="n">
        <v>-0.849517068407183</v>
      </c>
      <c r="K31" s="0" t="n">
        <v>4.74455631270341</v>
      </c>
      <c r="L31" s="0" t="n">
        <f aca="false">SQRT((J31-H31)^2+(K31-I31)^2)</f>
        <v>3.26276225899884</v>
      </c>
      <c r="M31" s="0" t="n">
        <f aca="false">C31*(L31/MAX(E31,L31))</f>
        <v>0.899400991942872</v>
      </c>
      <c r="N31" s="0" t="n">
        <v>0.920862483414063</v>
      </c>
      <c r="O31" s="0" t="s">
        <v>20</v>
      </c>
      <c r="P31" s="0" t="n">
        <v>-0.529844</v>
      </c>
      <c r="Q31" s="0" t="n">
        <v>5.08016</v>
      </c>
      <c r="R31" s="0" t="n">
        <v>15.6115219593048</v>
      </c>
    </row>
    <row r="32" customFormat="false" ht="13.8" hidden="false" customHeight="false" outlineLevel="0" collapsed="false">
      <c r="A32" s="0" t="n">
        <v>0.16795105481965</v>
      </c>
      <c r="B32" s="0" t="n">
        <v>4.98100424374661</v>
      </c>
      <c r="C32" s="0" t="n">
        <f aca="false">TRUE()</f>
        <v>1</v>
      </c>
      <c r="D32" s="0" t="n">
        <v>-98.2449887079001</v>
      </c>
      <c r="E32" s="0" t="n">
        <v>5.60232991435258</v>
      </c>
      <c r="F32" s="0" t="n">
        <v>123</v>
      </c>
      <c r="G32" s="0" t="n">
        <v>0.73147511967001</v>
      </c>
      <c r="H32" s="0" t="n">
        <v>3.21856038359864</v>
      </c>
      <c r="I32" s="0" t="n">
        <v>0.69981783005172</v>
      </c>
      <c r="J32" s="0" t="n">
        <v>0.282362981246895</v>
      </c>
      <c r="K32" s="0" t="n">
        <v>4.21292395904358</v>
      </c>
      <c r="L32" s="0" t="n">
        <f aca="false">SQRT((J32-H32)^2+(K32-I32)^2)</f>
        <v>4.57855543366434</v>
      </c>
      <c r="M32" s="0" t="n">
        <f aca="false">C32*(L32/MAX(E32,L32))</f>
        <v>0.817259158896473</v>
      </c>
      <c r="N32" s="0" t="n">
        <v>0.659204474044512</v>
      </c>
      <c r="O32" s="0" t="s">
        <v>21</v>
      </c>
      <c r="P32" s="0" t="n">
        <v>0.236502</v>
      </c>
      <c r="Q32" s="0" t="n">
        <v>4.94296</v>
      </c>
      <c r="R32" s="0" t="n">
        <v>27.5436804294586</v>
      </c>
    </row>
    <row r="33" customFormat="false" ht="13.8" hidden="false" customHeight="false" outlineLevel="0" collapsed="false">
      <c r="A33" s="0" t="n">
        <v>0.16795105481965</v>
      </c>
      <c r="B33" s="0" t="n">
        <v>4.98100424374661</v>
      </c>
      <c r="C33" s="0" t="n">
        <f aca="false">TRUE()</f>
        <v>1</v>
      </c>
      <c r="D33" s="0" t="n">
        <v>-76.100918392539</v>
      </c>
      <c r="E33" s="0" t="n">
        <v>7.03704010438595</v>
      </c>
      <c r="F33" s="0" t="n">
        <v>251</v>
      </c>
      <c r="G33" s="0" t="n">
        <v>0.872595115332745</v>
      </c>
      <c r="H33" s="0" t="n">
        <v>0.482074984383302</v>
      </c>
      <c r="I33" s="0" t="n">
        <v>-2.56885096288221</v>
      </c>
      <c r="J33" s="0" t="n">
        <v>0.0136909565368674</v>
      </c>
      <c r="K33" s="0" t="n">
        <v>4.09929094508958</v>
      </c>
      <c r="L33" s="0" t="n">
        <f aca="false">SQRT((J33-H33)^2+(K33-I33)^2)</f>
        <v>6.68457179648714</v>
      </c>
      <c r="M33" s="0" t="n">
        <f aca="false">C33*(L33/MAX(E33,L33))</f>
        <v>0.949912420183718</v>
      </c>
      <c r="N33" s="0" t="n">
        <v>0.779330644097282</v>
      </c>
      <c r="O33" s="0" t="s">
        <v>21</v>
      </c>
      <c r="P33" s="0" t="n">
        <v>0.236502</v>
      </c>
      <c r="Q33" s="0" t="n">
        <v>4.94296</v>
      </c>
      <c r="R33" s="0" t="n">
        <v>56.2571132183075</v>
      </c>
    </row>
    <row r="34" customFormat="false" ht="13.8" hidden="false" customHeight="false" outlineLevel="0" collapsed="false">
      <c r="A34" s="0" t="n">
        <v>0.16795105481965</v>
      </c>
      <c r="B34" s="0" t="n">
        <v>4.98100424374661</v>
      </c>
      <c r="C34" s="0" t="n">
        <f aca="false">FALSE()</f>
        <v>0</v>
      </c>
      <c r="D34" s="0" t="n">
        <v>-94.1108822965622</v>
      </c>
      <c r="E34" s="0" t="n">
        <v>8.15843115270009</v>
      </c>
      <c r="F34" s="0" t="n">
        <v>308</v>
      </c>
      <c r="G34" s="0" t="n">
        <v>1.25486850933758</v>
      </c>
      <c r="H34" s="0" t="n">
        <v>-4.02399936504444</v>
      </c>
      <c r="I34" s="0" t="n">
        <v>0.593592967135394</v>
      </c>
      <c r="J34" s="0" t="n">
        <v>1.25597198106739</v>
      </c>
      <c r="K34" s="0" t="n">
        <v>4.21126612040993</v>
      </c>
      <c r="L34" s="0" t="n">
        <f aca="false">SQRT((J34-H34)^2+(K34-I34)^2)</f>
        <v>6.40044189565731</v>
      </c>
      <c r="M34" s="0" t="n">
        <f aca="false">C34*(L34/MAX(E34,L34))</f>
        <v>0</v>
      </c>
      <c r="N34" s="0" t="n">
        <v>0.844261520594657</v>
      </c>
      <c r="O34" s="0" t="s">
        <v>21</v>
      </c>
      <c r="P34" s="0" t="n">
        <v>0.236502</v>
      </c>
      <c r="Q34" s="0" t="n">
        <v>4.94296</v>
      </c>
      <c r="R34" s="0" t="n">
        <v>68.1731050014496</v>
      </c>
    </row>
    <row r="35" customFormat="false" ht="13.8" hidden="false" customHeight="false" outlineLevel="0" collapsed="false">
      <c r="A35" s="0" t="n">
        <v>0.16795105481965</v>
      </c>
      <c r="B35" s="0" t="n">
        <v>4.98100424374661</v>
      </c>
      <c r="C35" s="0" t="n">
        <f aca="false">TRUE()</f>
        <v>1</v>
      </c>
      <c r="D35" s="0" t="n">
        <v>-90.3023838490248</v>
      </c>
      <c r="E35" s="0" t="n">
        <v>4.00030809891637</v>
      </c>
      <c r="F35" s="0" t="n">
        <v>92</v>
      </c>
      <c r="G35" s="0" t="n">
        <v>0.698885135747582</v>
      </c>
      <c r="H35" s="0" t="n">
        <v>2.47978415014166</v>
      </c>
      <c r="I35" s="0" t="n">
        <v>0.923863686017713</v>
      </c>
      <c r="J35" s="0" t="n">
        <v>0.455387770313191</v>
      </c>
      <c r="K35" s="0" t="n">
        <v>4.27923607205758</v>
      </c>
      <c r="L35" s="0" t="n">
        <f aca="false">SQRT((J35-H35)^2+(K35-I35)^2)</f>
        <v>3.91876314054084</v>
      </c>
      <c r="M35" s="0" t="n">
        <f aca="false">C35*(L35/MAX(E35,L35))</f>
        <v>0.97961533052976</v>
      </c>
      <c r="N35" s="0" t="n">
        <v>0.949663488910697</v>
      </c>
      <c r="O35" s="0" t="s">
        <v>21</v>
      </c>
      <c r="P35" s="0" t="n">
        <v>0.236502</v>
      </c>
      <c r="Q35" s="0" t="n">
        <v>4.94296</v>
      </c>
      <c r="R35" s="0" t="n">
        <v>20.578994512558</v>
      </c>
    </row>
    <row r="36" customFormat="false" ht="13.8" hidden="false" customHeight="false" outlineLevel="0" collapsed="false">
      <c r="A36" s="0" t="n">
        <v>0.16795105481965</v>
      </c>
      <c r="B36" s="0" t="n">
        <v>4.98100424374661</v>
      </c>
      <c r="C36" s="0" t="n">
        <f aca="false">TRUE()</f>
        <v>1</v>
      </c>
      <c r="D36" s="0" t="n">
        <v>-80.6932614302635</v>
      </c>
      <c r="E36" s="0" t="n">
        <v>8.43439354546726</v>
      </c>
      <c r="F36" s="0" t="n">
        <v>175</v>
      </c>
      <c r="G36" s="0" t="n">
        <v>0.729766482506553</v>
      </c>
      <c r="H36" s="0" t="n">
        <v>-1.03139253308768</v>
      </c>
      <c r="I36" s="0" t="n">
        <v>0.836991263907655</v>
      </c>
      <c r="J36" s="0" t="n">
        <v>0.397071937122479</v>
      </c>
      <c r="K36" s="0" t="n">
        <v>4.23107769632722</v>
      </c>
      <c r="L36" s="0" t="n">
        <f aca="false">SQRT((J36-H36)^2+(K36-I36)^2)</f>
        <v>3.68243580438103</v>
      </c>
      <c r="M36" s="0" t="n">
        <f aca="false">C36*(L36/MAX(E36,L36))</f>
        <v>0.436597579248601</v>
      </c>
      <c r="N36" s="0" t="n">
        <v>0.642009485544886</v>
      </c>
      <c r="O36" s="0" t="s">
        <v>21</v>
      </c>
      <c r="P36" s="0" t="n">
        <v>0.236502</v>
      </c>
      <c r="Q36" s="0" t="n">
        <v>4.94296</v>
      </c>
      <c r="R36" s="0" t="n">
        <v>38.7910497188568</v>
      </c>
    </row>
    <row r="37" customFormat="false" ht="13.8" hidden="false" customHeight="false" outlineLevel="0" collapsed="false">
      <c r="A37" s="0" t="n">
        <v>0.16795105481965</v>
      </c>
      <c r="B37" s="0" t="n">
        <v>4.98100424374661</v>
      </c>
      <c r="C37" s="0" t="n">
        <f aca="false">TRUE()</f>
        <v>1</v>
      </c>
      <c r="D37" s="0" t="n">
        <v>-95.8284814846516</v>
      </c>
      <c r="E37" s="0" t="n">
        <v>7.56818458240194</v>
      </c>
      <c r="F37" s="0" t="n">
        <v>287</v>
      </c>
      <c r="G37" s="0" t="n">
        <v>0.920985248989503</v>
      </c>
      <c r="H37" s="0" t="n">
        <v>0.817669135309162</v>
      </c>
      <c r="I37" s="0" t="n">
        <v>1.11005554685073</v>
      </c>
      <c r="J37" s="0" t="n">
        <v>0.847189335719095</v>
      </c>
      <c r="K37" s="0" t="n">
        <v>4.25355822538046</v>
      </c>
      <c r="L37" s="0" t="n">
        <f aca="false">SQRT((J37-H37)^2+(K37-I37)^2)</f>
        <v>3.14364128554068</v>
      </c>
      <c r="M37" s="0" t="n">
        <f aca="false">C37*(L37/MAX(E37,L37))</f>
        <v>0.415375874004248</v>
      </c>
      <c r="N37" s="0" t="n">
        <v>0.694339667388713</v>
      </c>
      <c r="O37" s="0" t="s">
        <v>21</v>
      </c>
      <c r="P37" s="0" t="n">
        <v>0.236502</v>
      </c>
      <c r="Q37" s="0" t="n">
        <v>4.94296</v>
      </c>
      <c r="R37" s="0" t="n">
        <v>64.0634045600891</v>
      </c>
    </row>
    <row r="38" customFormat="false" ht="13.8" hidden="false" customHeight="false" outlineLevel="0" collapsed="false">
      <c r="A38" s="0" t="n">
        <v>0.16795105481965</v>
      </c>
      <c r="B38" s="0" t="n">
        <v>4.98100424374661</v>
      </c>
      <c r="C38" s="0" t="n">
        <f aca="false">TRUE()</f>
        <v>1</v>
      </c>
      <c r="D38" s="0" t="n">
        <v>-80.6167778164148</v>
      </c>
      <c r="E38" s="0" t="n">
        <v>6.41294811415343</v>
      </c>
      <c r="F38" s="0" t="n">
        <v>252</v>
      </c>
      <c r="G38" s="0" t="n">
        <v>0.972152319416652</v>
      </c>
      <c r="H38" s="0" t="n">
        <v>1.28530455291602</v>
      </c>
      <c r="I38" s="0" t="n">
        <v>-0.552145612560871</v>
      </c>
      <c r="J38" s="0" t="n">
        <v>-0.0270907404943195</v>
      </c>
      <c r="K38" s="0" t="n">
        <v>4.0072255294872</v>
      </c>
      <c r="L38" s="0" t="n">
        <f aca="false">SQRT((J38-H38)^2+(K38-I38)^2)</f>
        <v>4.74449645559003</v>
      </c>
      <c r="M38" s="0" t="n">
        <f aca="false">C38*(L38/MAX(E38,L38))</f>
        <v>0.739830787827346</v>
      </c>
      <c r="N38" s="0" t="n">
        <v>0.558023481267394</v>
      </c>
      <c r="O38" s="0" t="s">
        <v>21</v>
      </c>
      <c r="P38" s="0" t="n">
        <v>0.236502</v>
      </c>
      <c r="Q38" s="0" t="n">
        <v>4.94296</v>
      </c>
      <c r="R38" s="0" t="n">
        <v>56.0110936164856</v>
      </c>
    </row>
    <row r="39" customFormat="false" ht="13.8" hidden="false" customHeight="false" outlineLevel="0" collapsed="false">
      <c r="A39" s="0" t="n">
        <v>0.16795105481965</v>
      </c>
      <c r="B39" s="0" t="n">
        <v>4.98100424374661</v>
      </c>
      <c r="C39" s="0" t="n">
        <f aca="false">TRUE()</f>
        <v>1</v>
      </c>
      <c r="D39" s="0" t="n">
        <v>-52.7053882336617</v>
      </c>
      <c r="E39" s="0" t="n">
        <v>10.8033818142293</v>
      </c>
      <c r="F39" s="0" t="n">
        <v>216</v>
      </c>
      <c r="G39" s="0" t="n">
        <v>0.725050441803317</v>
      </c>
      <c r="H39" s="0" t="n">
        <v>-3.87854353768412</v>
      </c>
      <c r="I39" s="0" t="n">
        <v>0.582588423242972</v>
      </c>
      <c r="J39" s="0" t="n">
        <v>0.354893038503411</v>
      </c>
      <c r="K39" s="0" t="n">
        <v>4.22764069705811</v>
      </c>
      <c r="L39" s="0" t="n">
        <f aca="false">SQRT((J39-H39)^2+(K39-I39)^2)</f>
        <v>5.58644711095051</v>
      </c>
      <c r="M39" s="0" t="n">
        <f aca="false">C39*(L39/MAX(E39,L39))</f>
        <v>0.517101700838948</v>
      </c>
      <c r="N39" s="0" t="n">
        <v>0.749602365701119</v>
      </c>
      <c r="O39" s="0" t="s">
        <v>21</v>
      </c>
      <c r="P39" s="0" t="n">
        <v>0.236502</v>
      </c>
      <c r="Q39" s="0" t="n">
        <v>4.94296</v>
      </c>
      <c r="R39" s="0" t="n">
        <v>47.9972121715546</v>
      </c>
    </row>
    <row r="40" customFormat="false" ht="13.8" hidden="false" customHeight="false" outlineLevel="0" collapsed="false">
      <c r="A40" s="0" t="n">
        <v>0.16795105481965</v>
      </c>
      <c r="B40" s="0" t="n">
        <v>4.98100424374661</v>
      </c>
      <c r="C40" s="0" t="n">
        <f aca="false">TRUE()</f>
        <v>1</v>
      </c>
      <c r="D40" s="0" t="n">
        <v>-63.7818074977398</v>
      </c>
      <c r="E40" s="0" t="n">
        <v>8.80258894710395</v>
      </c>
      <c r="F40" s="0" t="n">
        <v>171</v>
      </c>
      <c r="G40" s="0" t="n">
        <v>0.730112686219529</v>
      </c>
      <c r="H40" s="0" t="n">
        <v>-3.37010286893038</v>
      </c>
      <c r="I40" s="0" t="n">
        <v>1.25002585496176</v>
      </c>
      <c r="J40" s="0" t="n">
        <v>0.286559991100692</v>
      </c>
      <c r="K40" s="0" t="n">
        <v>4.21456537336849</v>
      </c>
      <c r="L40" s="0" t="n">
        <f aca="false">SQRT((J40-H40)^2+(K40-I40)^2)</f>
        <v>4.70740669882323</v>
      </c>
      <c r="M40" s="0" t="n">
        <f aca="false">C40*(L40/MAX(E40,L40))</f>
        <v>0.534775249317074</v>
      </c>
      <c r="N40" s="0" t="n">
        <v>0.735245551833533</v>
      </c>
      <c r="O40" s="0" t="s">
        <v>21</v>
      </c>
      <c r="P40" s="0" t="n">
        <v>0.236502</v>
      </c>
      <c r="Q40" s="0" t="n">
        <v>4.94296</v>
      </c>
      <c r="R40" s="0" t="n">
        <v>37.8740944862366</v>
      </c>
    </row>
    <row r="41" customFormat="false" ht="13.8" hidden="false" customHeight="false" outlineLevel="0" collapsed="false">
      <c r="A41" s="0" t="n">
        <v>0.16795105481965</v>
      </c>
      <c r="B41" s="0" t="n">
        <v>4.98100424374661</v>
      </c>
      <c r="C41" s="0" t="n">
        <f aca="false">TRUE()</f>
        <v>1</v>
      </c>
      <c r="D41" s="0" t="n">
        <v>-100.360652341843</v>
      </c>
      <c r="E41" s="0" t="n">
        <v>4.66835054275171</v>
      </c>
      <c r="F41" s="0" t="n">
        <v>141</v>
      </c>
      <c r="G41" s="0" t="n">
        <v>0.758763597421848</v>
      </c>
      <c r="H41" s="0" t="n">
        <v>0.636888016918199</v>
      </c>
      <c r="I41" s="0" t="n">
        <v>0.0921670175873677</v>
      </c>
      <c r="J41" s="0" t="n">
        <v>0.442442242722373</v>
      </c>
      <c r="K41" s="0" t="n">
        <v>4.21267867530383</v>
      </c>
      <c r="L41" s="0" t="n">
        <f aca="false">SQRT((J41-H41)^2+(K41-I41)^2)</f>
        <v>4.12509702679584</v>
      </c>
      <c r="M41" s="0" t="n">
        <f aca="false">C41*(L41/MAX(E41,L41))</f>
        <v>0.883630521962548</v>
      </c>
      <c r="N41" s="0" t="n">
        <v>0.85693285214189</v>
      </c>
      <c r="O41" s="0" t="s">
        <v>21</v>
      </c>
      <c r="P41" s="0" t="n">
        <v>0.236502</v>
      </c>
      <c r="Q41" s="0" t="n">
        <v>4.94296</v>
      </c>
      <c r="R41" s="0" t="n">
        <v>31.394504070282</v>
      </c>
    </row>
    <row r="42" customFormat="false" ht="13.8" hidden="false" customHeight="false" outlineLevel="0" collapsed="false">
      <c r="A42" s="0" t="n">
        <v>0.960170110728754</v>
      </c>
      <c r="B42" s="0" t="n">
        <v>4.98684326960425</v>
      </c>
      <c r="C42" s="0" t="n">
        <f aca="false">FALSE()</f>
        <v>0</v>
      </c>
      <c r="D42" s="0" t="n">
        <v>-59.8186345481872</v>
      </c>
      <c r="E42" s="0" t="n">
        <v>9.55974553871074</v>
      </c>
      <c r="F42" s="0" t="n">
        <v>298</v>
      </c>
      <c r="G42" s="0" t="n">
        <v>1.75460625399619</v>
      </c>
      <c r="H42" s="0" t="n">
        <v>-3.56111007580881</v>
      </c>
      <c r="I42" s="0" t="n">
        <v>0.611971435917729</v>
      </c>
      <c r="J42" s="0" t="n">
        <v>1.25005867990646</v>
      </c>
      <c r="K42" s="0" t="n">
        <v>3.20864645562635</v>
      </c>
      <c r="L42" s="0" t="n">
        <f aca="false">SQRT((J42-H42)^2+(K42-I42)^2)</f>
        <v>5.46718080494414</v>
      </c>
      <c r="M42" s="0" t="n">
        <f aca="false">C42*(L42/MAX(E42,L42))</f>
        <v>0</v>
      </c>
      <c r="N42" s="0" t="n">
        <v>0.913934464414377</v>
      </c>
      <c r="O42" s="0" t="s">
        <v>22</v>
      </c>
      <c r="P42" s="0" t="n">
        <v>1.11478</v>
      </c>
      <c r="Q42" s="0" t="n">
        <v>4.95803</v>
      </c>
      <c r="R42" s="0" t="n">
        <v>65.7672624588013</v>
      </c>
    </row>
    <row r="43" customFormat="false" ht="13.8" hidden="false" customHeight="false" outlineLevel="0" collapsed="false">
      <c r="A43" s="0" t="n">
        <v>0.960170110728754</v>
      </c>
      <c r="B43" s="0" t="n">
        <v>4.98684326960425</v>
      </c>
      <c r="C43" s="0" t="n">
        <f aca="false">TRUE()</f>
        <v>1</v>
      </c>
      <c r="D43" s="0" t="n">
        <v>-105.368560978174</v>
      </c>
      <c r="E43" s="0" t="n">
        <v>4.28927972785935</v>
      </c>
      <c r="F43" s="0" t="n">
        <v>191</v>
      </c>
      <c r="G43" s="0" t="n">
        <v>0.726571505632095</v>
      </c>
      <c r="H43" s="0" t="n">
        <v>1.20920354899285</v>
      </c>
      <c r="I43" s="0" t="n">
        <v>0.5385212716502</v>
      </c>
      <c r="J43" s="0" t="n">
        <v>0.793791198307354</v>
      </c>
      <c r="K43" s="0" t="n">
        <v>4.30620767606164</v>
      </c>
      <c r="L43" s="0" t="n">
        <f aca="false">SQRT((J43-H43)^2+(K43-I43)^2)</f>
        <v>3.79051820508606</v>
      </c>
      <c r="M43" s="0" t="n">
        <f aca="false">C43*(L43/MAX(E43,L43))</f>
        <v>0.883719049719751</v>
      </c>
      <c r="N43" s="0" t="n">
        <v>0.843462278906109</v>
      </c>
      <c r="O43" s="0" t="s">
        <v>22</v>
      </c>
      <c r="P43" s="0" t="n">
        <v>1.11478</v>
      </c>
      <c r="Q43" s="0" t="n">
        <v>4.95803</v>
      </c>
      <c r="R43" s="0" t="n">
        <v>42.6398203372955</v>
      </c>
    </row>
    <row r="44" customFormat="false" ht="13.8" hidden="false" customHeight="false" outlineLevel="0" collapsed="false">
      <c r="A44" s="0" t="n">
        <v>0.960170110728754</v>
      </c>
      <c r="B44" s="0" t="n">
        <v>4.98684326960425</v>
      </c>
      <c r="C44" s="0" t="n">
        <f aca="false">FALSE()</f>
        <v>0</v>
      </c>
      <c r="D44" s="0" t="n">
        <v>-91.8240678745508</v>
      </c>
      <c r="E44" s="0" t="n">
        <v>6.71028618510859</v>
      </c>
      <c r="F44" s="0" t="n">
        <v>263</v>
      </c>
      <c r="G44" s="0" t="n">
        <v>1.85306539035748</v>
      </c>
      <c r="H44" s="0" t="n">
        <v>-0.165752183030115</v>
      </c>
      <c r="I44" s="0" t="n">
        <v>-0.124709381930763</v>
      </c>
      <c r="J44" s="0" t="n">
        <v>1.27854437258054</v>
      </c>
      <c r="K44" s="0" t="n">
        <v>3.11221512000417</v>
      </c>
      <c r="L44" s="0" t="n">
        <f aca="false">SQRT((J44-H44)^2+(K44-I44)^2)</f>
        <v>3.54452715771448</v>
      </c>
      <c r="M44" s="0" t="n">
        <f aca="false">C44*(L44/MAX(E44,L44))</f>
        <v>0</v>
      </c>
      <c r="N44" s="0" t="n">
        <v>0.806827158924942</v>
      </c>
      <c r="O44" s="0" t="s">
        <v>22</v>
      </c>
      <c r="P44" s="0" t="n">
        <v>1.11478</v>
      </c>
      <c r="Q44" s="0" t="n">
        <v>4.95803</v>
      </c>
      <c r="R44" s="0" t="n">
        <v>58.3825974464417</v>
      </c>
    </row>
    <row r="45" customFormat="false" ht="13.8" hidden="false" customHeight="false" outlineLevel="0" collapsed="false">
      <c r="A45" s="0" t="n">
        <v>0.960170110728754</v>
      </c>
      <c r="B45" s="0" t="n">
        <v>4.98684326960425</v>
      </c>
      <c r="C45" s="0" t="n">
        <f aca="false">FALSE()</f>
        <v>0</v>
      </c>
      <c r="D45" s="0" t="n">
        <v>-60.355236595273</v>
      </c>
      <c r="E45" s="0" t="n">
        <v>9.82691485579323</v>
      </c>
      <c r="F45" s="0" t="n">
        <v>315</v>
      </c>
      <c r="G45" s="0" t="n">
        <v>1.80147459545551</v>
      </c>
      <c r="H45" s="0" t="n">
        <v>-3.76637382660116</v>
      </c>
      <c r="I45" s="0" t="n">
        <v>1.139881177917</v>
      </c>
      <c r="J45" s="0" t="n">
        <v>1.24223094644669</v>
      </c>
      <c r="K45" s="0" t="n">
        <v>3.1610695178743</v>
      </c>
      <c r="L45" s="0" t="n">
        <f aca="false">SQRT((J45-H45)^2+(K45-I45)^2)</f>
        <v>5.40104842398002</v>
      </c>
      <c r="M45" s="0" t="n">
        <f aca="false">C45*(L45/MAX(E45,L45))</f>
        <v>0</v>
      </c>
      <c r="N45" s="0" t="n">
        <v>0.719873807274503</v>
      </c>
      <c r="O45" s="0" t="s">
        <v>22</v>
      </c>
      <c r="P45" s="0" t="n">
        <v>1.11478</v>
      </c>
      <c r="Q45" s="0" t="n">
        <v>4.95803</v>
      </c>
      <c r="R45" s="0" t="n">
        <v>69.52734375</v>
      </c>
    </row>
    <row r="46" customFormat="false" ht="13.8" hidden="false" customHeight="false" outlineLevel="0" collapsed="false">
      <c r="A46" s="0" t="n">
        <v>0.960170110728754</v>
      </c>
      <c r="B46" s="0" t="n">
        <v>4.98684326960425</v>
      </c>
      <c r="C46" s="0" t="n">
        <f aca="false">TRUE()</f>
        <v>1</v>
      </c>
      <c r="D46" s="0" t="n">
        <v>-109.634387602806</v>
      </c>
      <c r="E46" s="0" t="n">
        <v>6.47053529873924</v>
      </c>
      <c r="F46" s="0" t="n">
        <v>347</v>
      </c>
      <c r="G46" s="0" t="n">
        <v>0.721146626083673</v>
      </c>
      <c r="H46" s="0" t="n">
        <v>2.0142150917145</v>
      </c>
      <c r="I46" s="0" t="n">
        <v>-1.6565590039606</v>
      </c>
      <c r="J46" s="0" t="n">
        <v>1.13904214679842</v>
      </c>
      <c r="K46" s="0" t="n">
        <v>4.23729162545304</v>
      </c>
      <c r="L46" s="0" t="n">
        <f aca="false">SQRT((J46-H46)^2+(K46-I46)^2)</f>
        <v>5.95847320421537</v>
      </c>
      <c r="M46" s="0" t="n">
        <f aca="false">C46*(L46/MAX(E46,L46))</f>
        <v>0.920862483414063</v>
      </c>
      <c r="N46" s="0" t="n">
        <v>0.612729037997212</v>
      </c>
      <c r="O46" s="0" t="s">
        <v>22</v>
      </c>
      <c r="P46" s="0" t="n">
        <v>1.11478</v>
      </c>
      <c r="Q46" s="0" t="n">
        <v>4.95803</v>
      </c>
      <c r="R46" s="0" t="n">
        <v>77.0128860473633</v>
      </c>
    </row>
    <row r="47" customFormat="false" ht="13.8" hidden="false" customHeight="false" outlineLevel="0" collapsed="false">
      <c r="A47" s="0" t="n">
        <v>0.960170110728754</v>
      </c>
      <c r="B47" s="0" t="n">
        <v>4.98684326960425</v>
      </c>
      <c r="C47" s="0" t="n">
        <f aca="false">FALSE()</f>
        <v>0</v>
      </c>
      <c r="D47" s="0" t="n">
        <v>-81.6469003468752</v>
      </c>
      <c r="E47" s="0" t="n">
        <v>2.70368838616619</v>
      </c>
      <c r="F47" s="0" t="n">
        <v>166</v>
      </c>
      <c r="G47" s="0" t="n">
        <v>1.82293822758832</v>
      </c>
      <c r="H47" s="0" t="n">
        <v>2.00978335978373</v>
      </c>
      <c r="I47" s="0" t="n">
        <v>0.534645403010015</v>
      </c>
      <c r="J47" s="0" t="n">
        <v>1.4413496858021</v>
      </c>
      <c r="K47" s="0" t="n">
        <v>3.16458191825412</v>
      </c>
      <c r="L47" s="0" t="n">
        <f aca="false">SQRT((J47-H47)^2+(K47-I47)^2)</f>
        <v>2.69066588708642</v>
      </c>
      <c r="M47" s="0" t="n">
        <f aca="false">C47*(L47/MAX(E47,L47))</f>
        <v>0</v>
      </c>
      <c r="N47" s="0" t="n">
        <v>0.879750541314892</v>
      </c>
      <c r="O47" s="0" t="s">
        <v>22</v>
      </c>
      <c r="P47" s="0" t="n">
        <v>1.11478</v>
      </c>
      <c r="Q47" s="0" t="n">
        <v>4.95803</v>
      </c>
      <c r="R47" s="0" t="n">
        <v>36.9081125259399</v>
      </c>
    </row>
    <row r="48" customFormat="false" ht="13.8" hidden="false" customHeight="false" outlineLevel="0" collapsed="false">
      <c r="A48" s="0" t="n">
        <v>0.960170110728754</v>
      </c>
      <c r="B48" s="0" t="n">
        <v>4.98684326960425</v>
      </c>
      <c r="C48" s="0" t="n">
        <f aca="false">FALSE()</f>
        <v>0</v>
      </c>
      <c r="D48" s="0" t="n">
        <v>-84.3612938761711</v>
      </c>
      <c r="E48" s="0" t="n">
        <v>4.38995031893916</v>
      </c>
      <c r="F48" s="0" t="n">
        <v>192</v>
      </c>
      <c r="G48" s="0" t="n">
        <v>1.69824816300478</v>
      </c>
      <c r="H48" s="0" t="n">
        <v>4.07775154369953</v>
      </c>
      <c r="I48" s="0" t="n">
        <v>0.524428457500502</v>
      </c>
      <c r="J48" s="0" t="n">
        <v>1.49755602262379</v>
      </c>
      <c r="K48" s="0" t="n">
        <v>3.30348192283409</v>
      </c>
      <c r="L48" s="0" t="n">
        <f aca="false">SQRT((J48-H48)^2+(K48-I48)^2)</f>
        <v>3.79216918005539</v>
      </c>
      <c r="M48" s="0" t="n">
        <f aca="false">C48*(L48/MAX(E48,L48))</f>
        <v>0</v>
      </c>
      <c r="N48" s="0" t="n">
        <v>0.922109930284806</v>
      </c>
      <c r="O48" s="0" t="s">
        <v>22</v>
      </c>
      <c r="P48" s="0" t="n">
        <v>1.11478</v>
      </c>
      <c r="Q48" s="0" t="n">
        <v>4.95803</v>
      </c>
      <c r="R48" s="0" t="n">
        <v>42.6949484348297</v>
      </c>
    </row>
    <row r="49" customFormat="false" ht="13.8" hidden="false" customHeight="false" outlineLevel="0" collapsed="false">
      <c r="A49" s="0" t="n">
        <v>0.960170110728754</v>
      </c>
      <c r="B49" s="0" t="n">
        <v>4.98684326960425</v>
      </c>
      <c r="C49" s="0" t="n">
        <f aca="false">TRUE()</f>
        <v>1</v>
      </c>
      <c r="D49" s="0" t="n">
        <v>-85.410838702321</v>
      </c>
      <c r="E49" s="0" t="n">
        <v>9.01283188409521</v>
      </c>
      <c r="F49" s="0" t="n">
        <v>341</v>
      </c>
      <c r="G49" s="0" t="n">
        <v>0.713912083995952</v>
      </c>
      <c r="H49" s="0" t="n">
        <v>-2.77786739552339</v>
      </c>
      <c r="I49" s="0" t="n">
        <v>-0.0221595972888862</v>
      </c>
      <c r="J49" s="0" t="n">
        <v>1.32438346478021</v>
      </c>
      <c r="K49" s="0" t="n">
        <v>4.27558084348534</v>
      </c>
      <c r="L49" s="0" t="n">
        <f aca="false">SQRT((J49-H49)^2+(K49-I49)^2)</f>
        <v>5.94129910180659</v>
      </c>
      <c r="M49" s="0" t="n">
        <f aca="false">C49*(L49/MAX(E49,L49))</f>
        <v>0.659204474044512</v>
      </c>
      <c r="N49" s="0" t="n">
        <v>0.915647066908102</v>
      </c>
      <c r="O49" s="0" t="s">
        <v>22</v>
      </c>
      <c r="P49" s="0" t="n">
        <v>1.11478</v>
      </c>
      <c r="Q49" s="0" t="n">
        <v>4.95803</v>
      </c>
      <c r="R49" s="0" t="n">
        <v>75.7013325691223</v>
      </c>
    </row>
    <row r="50" customFormat="false" ht="13.8" hidden="false" customHeight="false" outlineLevel="0" collapsed="false">
      <c r="A50" s="0" t="n">
        <v>0.960170110728754</v>
      </c>
      <c r="B50" s="0" t="n">
        <v>4.98684326960425</v>
      </c>
      <c r="C50" s="0" t="n">
        <f aca="false">FALSE()</f>
        <v>0</v>
      </c>
      <c r="D50" s="0" t="n">
        <v>-110.663030983806</v>
      </c>
      <c r="E50" s="0" t="n">
        <v>4.59138567531017</v>
      </c>
      <c r="F50" s="0" t="n">
        <v>267</v>
      </c>
      <c r="G50" s="0" t="n">
        <v>1.72589147505854</v>
      </c>
      <c r="H50" s="0" t="n">
        <v>2.04966545770011</v>
      </c>
      <c r="I50" s="0" t="n">
        <v>-1.01769504104477</v>
      </c>
      <c r="J50" s="0" t="n">
        <v>1.50643573176176</v>
      </c>
      <c r="K50" s="0" t="n">
        <v>3.277164993089</v>
      </c>
      <c r="L50" s="0" t="n">
        <f aca="false">SQRT((J50-H50)^2+(K50-I50)^2)</f>
        <v>4.32907856800297</v>
      </c>
      <c r="M50" s="0" t="n">
        <f aca="false">C50*(L50/MAX(E50,L50))</f>
        <v>0</v>
      </c>
      <c r="N50" s="0" t="n">
        <v>0.943693206697736</v>
      </c>
      <c r="O50" s="0" t="s">
        <v>22</v>
      </c>
      <c r="P50" s="0" t="n">
        <v>1.11478</v>
      </c>
      <c r="Q50" s="0" t="n">
        <v>4.95803</v>
      </c>
      <c r="R50" s="0" t="n">
        <v>59.4676265716553</v>
      </c>
    </row>
    <row r="51" customFormat="false" ht="13.8" hidden="false" customHeight="false" outlineLevel="0" collapsed="false">
      <c r="A51" s="0" t="n">
        <v>0.960170110728754</v>
      </c>
      <c r="B51" s="0" t="n">
        <v>4.98684326960425</v>
      </c>
      <c r="C51" s="0" t="n">
        <f aca="false">FALSE()</f>
        <v>0</v>
      </c>
      <c r="D51" s="0" t="n">
        <v>-68.7058605778217</v>
      </c>
      <c r="E51" s="0" t="n">
        <v>4.81203837461831</v>
      </c>
      <c r="F51" s="0" t="n">
        <v>208</v>
      </c>
      <c r="G51" s="0" t="n">
        <v>2.06489893159104</v>
      </c>
      <c r="H51" s="0" t="n">
        <v>-0.936908516566318</v>
      </c>
      <c r="I51" s="0" t="n">
        <v>-1.51751124306935</v>
      </c>
      <c r="J51" s="0" t="n">
        <v>0.638210160741771</v>
      </c>
      <c r="K51" s="0" t="n">
        <v>2.94887873989159</v>
      </c>
      <c r="L51" s="0" t="n">
        <f aca="false">SQRT((J51-H51)^2+(K51-I51)^2)</f>
        <v>4.73599391126072</v>
      </c>
      <c r="M51" s="0" t="n">
        <f aca="false">C51*(L51/MAX(E51,L51))</f>
        <v>0</v>
      </c>
      <c r="N51" s="0" t="n">
        <v>0.748397289059999</v>
      </c>
      <c r="O51" s="0" t="s">
        <v>22</v>
      </c>
      <c r="P51" s="0" t="n">
        <v>1.11478</v>
      </c>
      <c r="Q51" s="0" t="n">
        <v>4.95803</v>
      </c>
      <c r="R51" s="0" t="n">
        <v>45.8541038036347</v>
      </c>
    </row>
    <row r="52" customFormat="false" ht="13.8" hidden="false" customHeight="false" outlineLevel="0" collapsed="false">
      <c r="A52" s="0" t="n">
        <v>2.89007174032735</v>
      </c>
      <c r="B52" s="0" t="n">
        <v>5</v>
      </c>
      <c r="C52" s="0" t="n">
        <f aca="false">FALSE()</f>
        <v>0</v>
      </c>
      <c r="D52" s="0" t="n">
        <v>-88.0502634686232</v>
      </c>
      <c r="E52" s="0" t="n">
        <v>1.79188334550367</v>
      </c>
      <c r="F52" s="0" t="n">
        <v>164</v>
      </c>
      <c r="G52" s="0" t="n">
        <v>2.41176674977137</v>
      </c>
      <c r="H52" s="0" t="n">
        <v>0.953545493020463</v>
      </c>
      <c r="I52" s="0" t="n">
        <v>1.08832296241263</v>
      </c>
      <c r="J52" s="0" t="n">
        <v>1.33640549748668</v>
      </c>
      <c r="K52" s="0" t="n">
        <v>2.82333899704522</v>
      </c>
      <c r="L52" s="0" t="n">
        <f aca="false">SQRT((J52-H52)^2+(K52-I52)^2)</f>
        <v>1.77675615193872</v>
      </c>
      <c r="M52" s="0" t="n">
        <f aca="false">C52*(L52/MAX(E52,L52))</f>
        <v>0</v>
      </c>
      <c r="N52" s="0" t="n">
        <v>0.971266194231299</v>
      </c>
      <c r="O52" s="0" t="s">
        <v>23</v>
      </c>
      <c r="P52" s="0" t="n">
        <v>2.23816</v>
      </c>
      <c r="Q52" s="0" t="n">
        <v>5.06018</v>
      </c>
      <c r="R52" s="0" t="n">
        <v>36.7798707485199</v>
      </c>
    </row>
    <row r="53" customFormat="false" ht="13.8" hidden="false" customHeight="false" outlineLevel="0" collapsed="false">
      <c r="A53" s="0" t="n">
        <v>2.89007174032735</v>
      </c>
      <c r="B53" s="0" t="n">
        <v>5</v>
      </c>
      <c r="C53" s="0" t="n">
        <f aca="false">FALSE()</f>
        <v>0</v>
      </c>
      <c r="D53" s="0" t="n">
        <v>-93.0880587852001</v>
      </c>
      <c r="E53" s="0" t="n">
        <v>3.17176819000171</v>
      </c>
      <c r="F53" s="0" t="n">
        <v>198</v>
      </c>
      <c r="G53" s="0" t="n">
        <v>1.08774058982306</v>
      </c>
      <c r="H53" s="0" t="n">
        <v>4.29861256111533</v>
      </c>
      <c r="I53" s="0" t="n">
        <v>1.77386188955553</v>
      </c>
      <c r="J53" s="0" t="n">
        <v>3.27972873984847</v>
      </c>
      <c r="K53" s="0" t="n">
        <v>4.7466291254691</v>
      </c>
      <c r="L53" s="0" t="n">
        <f aca="false">SQRT((J53-H53)^2+(K53-I53)^2)</f>
        <v>3.14252593945708</v>
      </c>
      <c r="M53" s="0" t="n">
        <f aca="false">C53*(L53/MAX(E53,L53))</f>
        <v>0</v>
      </c>
      <c r="N53" s="0" t="n">
        <v>0.957094994205401</v>
      </c>
      <c r="O53" s="0" t="s">
        <v>23</v>
      </c>
      <c r="P53" s="0" t="n">
        <v>2.23816</v>
      </c>
      <c r="Q53" s="0" t="n">
        <v>5.06018</v>
      </c>
      <c r="R53" s="0" t="n">
        <v>44.3090479373932</v>
      </c>
    </row>
    <row r="54" customFormat="false" ht="13.8" hidden="false" customHeight="false" outlineLevel="0" collapsed="false">
      <c r="A54" s="0" t="n">
        <v>2.89007174032735</v>
      </c>
      <c r="B54" s="0" t="n">
        <v>5</v>
      </c>
      <c r="C54" s="0" t="n">
        <f aca="false">FALSE()</f>
        <v>0</v>
      </c>
      <c r="D54" s="0" t="n">
        <v>-113.214470319748</v>
      </c>
      <c r="E54" s="0" t="n">
        <v>2.29657601494108</v>
      </c>
      <c r="F54" s="0" t="n">
        <v>200</v>
      </c>
      <c r="G54" s="0" t="n">
        <v>3.65165247426199</v>
      </c>
      <c r="H54" s="0" t="n">
        <v>2.39664473126779</v>
      </c>
      <c r="I54" s="0" t="n">
        <v>-0.803497753369753</v>
      </c>
      <c r="J54" s="0" t="n">
        <v>2.17550351121713</v>
      </c>
      <c r="K54" s="0" t="n">
        <v>1.40906510764217</v>
      </c>
      <c r="L54" s="0" t="n">
        <f aca="false">SQRT((J54-H54)^2+(K54-I54)^2)</f>
        <v>2.2235867091559</v>
      </c>
      <c r="M54" s="0" t="n">
        <f aca="false">C54*(L54/MAX(E54,L54))</f>
        <v>0</v>
      </c>
      <c r="N54" s="0" t="n">
        <v>0.910791980016803</v>
      </c>
      <c r="O54" s="0" t="s">
        <v>23</v>
      </c>
      <c r="P54" s="0" t="n">
        <v>2.23816</v>
      </c>
      <c r="Q54" s="0" t="n">
        <v>5.06018</v>
      </c>
      <c r="R54" s="0" t="n">
        <v>44.5945925712585</v>
      </c>
    </row>
    <row r="55" customFormat="false" ht="13.8" hidden="false" customHeight="false" outlineLevel="0" collapsed="false">
      <c r="A55" s="0" t="n">
        <v>2.89007174032735</v>
      </c>
      <c r="B55" s="0" t="n">
        <v>5</v>
      </c>
      <c r="C55" s="0" t="n">
        <f aca="false">FALSE()</f>
        <v>0</v>
      </c>
      <c r="D55" s="0" t="n">
        <v>-74.8914427435398</v>
      </c>
      <c r="E55" s="0" t="n">
        <v>5.33523793806485</v>
      </c>
      <c r="F55" s="0" t="n">
        <v>221</v>
      </c>
      <c r="G55" s="0" t="n">
        <v>2.530465350997</v>
      </c>
      <c r="H55" s="0" t="n">
        <v>1.14384173347147</v>
      </c>
      <c r="I55" s="0" t="n">
        <v>-1.71215403098254</v>
      </c>
      <c r="J55" s="0" t="n">
        <v>0.985962929419593</v>
      </c>
      <c r="K55" s="0" t="n">
        <v>2.86125813030426</v>
      </c>
      <c r="L55" s="0" t="n">
        <f aca="false">SQRT((J55-H55)^2+(K55-I55)^2)</f>
        <v>4.57613641774093</v>
      </c>
      <c r="M55" s="0" t="n">
        <f aca="false">C55*(L55/MAX(E55,L55))</f>
        <v>0</v>
      </c>
      <c r="N55" s="0" t="n">
        <v>0.149376624223866</v>
      </c>
      <c r="O55" s="0" t="s">
        <v>23</v>
      </c>
      <c r="P55" s="0" t="n">
        <v>2.23816</v>
      </c>
      <c r="Q55" s="0" t="n">
        <v>5.06018</v>
      </c>
      <c r="R55" s="0" t="n">
        <v>49.1820154190063</v>
      </c>
    </row>
    <row r="56" customFormat="false" ht="13.8" hidden="false" customHeight="false" outlineLevel="0" collapsed="false">
      <c r="A56" s="0" t="n">
        <v>2.89007174032735</v>
      </c>
      <c r="B56" s="0" t="n">
        <v>5</v>
      </c>
      <c r="C56" s="0" t="n">
        <f aca="false">FALSE()</f>
        <v>0</v>
      </c>
      <c r="D56" s="0" t="n">
        <v>-94.9726433265209</v>
      </c>
      <c r="E56" s="0" t="n">
        <v>7.20861336662121</v>
      </c>
      <c r="F56" s="0" t="n">
        <v>252</v>
      </c>
      <c r="G56" s="0" t="n">
        <v>1.94480510133058</v>
      </c>
      <c r="H56" s="0" t="n">
        <v>-1.0429116658868</v>
      </c>
      <c r="I56" s="0" t="n">
        <v>1.28543952741756</v>
      </c>
      <c r="J56" s="0" t="n">
        <v>1.90961926742305</v>
      </c>
      <c r="K56" s="0" t="n">
        <v>3.14332636208206</v>
      </c>
      <c r="L56" s="0" t="n">
        <f aca="false">SQRT((J56-H56)^2+(K56-I56)^2)</f>
        <v>3.48843552363681</v>
      </c>
      <c r="M56" s="0" t="n">
        <f aca="false">C56*(L56/MAX(E56,L56))</f>
        <v>0</v>
      </c>
      <c r="N56" s="0" t="n">
        <v>0.806641506723841</v>
      </c>
      <c r="O56" s="0" t="s">
        <v>23</v>
      </c>
      <c r="P56" s="0" t="n">
        <v>2.23816</v>
      </c>
      <c r="Q56" s="0" t="n">
        <v>5.06018</v>
      </c>
      <c r="R56" s="0" t="n">
        <v>56.2884635925293</v>
      </c>
    </row>
    <row r="57" customFormat="false" ht="13.8" hidden="false" customHeight="false" outlineLevel="0" collapsed="false">
      <c r="A57" s="0" t="n">
        <v>2.89007174032735</v>
      </c>
      <c r="B57" s="0" t="n">
        <v>5</v>
      </c>
      <c r="C57" s="0" t="n">
        <f aca="false">FALSE()</f>
        <v>0</v>
      </c>
      <c r="D57" s="0" t="n">
        <v>-138.913963000178</v>
      </c>
      <c r="E57" s="0" t="n">
        <v>4.85784449118887</v>
      </c>
      <c r="F57" s="0" t="n">
        <v>243</v>
      </c>
      <c r="G57" s="0" t="n">
        <v>1.18096828040714</v>
      </c>
      <c r="H57" s="0" t="n">
        <v>2.12981746416</v>
      </c>
      <c r="I57" s="0" t="n">
        <v>1.26159762407916</v>
      </c>
      <c r="J57" s="0" t="n">
        <v>3.4023876732295</v>
      </c>
      <c r="K57" s="0" t="n">
        <v>4.86203862568757</v>
      </c>
      <c r="L57" s="0" t="n">
        <f aca="false">SQRT((J57-H57)^2+(K57-I57)^2)</f>
        <v>3.81871841631118</v>
      </c>
      <c r="M57" s="0" t="n">
        <f aca="false">C57*(L57/MAX(E57,L57))</f>
        <v>0</v>
      </c>
      <c r="N57" s="0" t="n">
        <v>0.435025955215747</v>
      </c>
      <c r="O57" s="0" t="s">
        <v>23</v>
      </c>
      <c r="P57" s="0" t="n">
        <v>2.23816</v>
      </c>
      <c r="Q57" s="0" t="n">
        <v>5.06018</v>
      </c>
      <c r="R57" s="0" t="n">
        <v>53.5480237007141</v>
      </c>
    </row>
    <row r="58" customFormat="false" ht="13.8" hidden="false" customHeight="false" outlineLevel="0" collapsed="false">
      <c r="A58" s="0" t="n">
        <v>2.89007174032735</v>
      </c>
      <c r="B58" s="0" t="n">
        <v>5</v>
      </c>
      <c r="C58" s="0" t="n">
        <f aca="false">FALSE()</f>
        <v>0</v>
      </c>
      <c r="D58" s="0" t="n">
        <v>-67.2446197348833</v>
      </c>
      <c r="E58" s="0" t="n">
        <v>5.1836265753023</v>
      </c>
      <c r="F58" s="0" t="n">
        <v>224</v>
      </c>
      <c r="G58" s="0" t="n">
        <v>2.51508138411952</v>
      </c>
      <c r="H58" s="0" t="n">
        <v>-0.171939715374069</v>
      </c>
      <c r="I58" s="0" t="n">
        <v>-2.04990419739325</v>
      </c>
      <c r="J58" s="0" t="n">
        <v>1.00624462588541</v>
      </c>
      <c r="K58" s="0" t="n">
        <v>2.86746048310673</v>
      </c>
      <c r="L58" s="0" t="n">
        <f aca="false">SQRT((J58-H58)^2+(K58-I58)^2)</f>
        <v>5.05653970052818</v>
      </c>
      <c r="M58" s="0" t="n">
        <f aca="false">C58*(L58/MAX(E58,L58))</f>
        <v>0</v>
      </c>
      <c r="N58" s="0" t="n">
        <v>0.687619184085679</v>
      </c>
      <c r="O58" s="0" t="s">
        <v>23</v>
      </c>
      <c r="P58" s="0" t="n">
        <v>2.23816</v>
      </c>
      <c r="Q58" s="0" t="n">
        <v>5.06018</v>
      </c>
      <c r="R58" s="0" t="n">
        <v>49.6286935806274</v>
      </c>
    </row>
    <row r="59" customFormat="false" ht="13.8" hidden="false" customHeight="false" outlineLevel="0" collapsed="false">
      <c r="A59" s="0" t="n">
        <v>2.89007174032735</v>
      </c>
      <c r="B59" s="0" t="n">
        <v>5</v>
      </c>
      <c r="C59" s="0" t="n">
        <f aca="false">FALSE()</f>
        <v>0</v>
      </c>
      <c r="D59" s="0" t="n">
        <v>-97.7583290749788</v>
      </c>
      <c r="E59" s="0" t="n">
        <v>5.13013289397404</v>
      </c>
      <c r="F59" s="0" t="n">
        <v>190</v>
      </c>
      <c r="G59" s="0" t="n">
        <v>1.93805044145155</v>
      </c>
      <c r="H59" s="0" t="n">
        <v>0.809888012962286</v>
      </c>
      <c r="I59" s="0" t="n">
        <v>-1.65272628370417</v>
      </c>
      <c r="J59" s="0" t="n">
        <v>1.92156815457711</v>
      </c>
      <c r="K59" s="0" t="n">
        <v>3.14816297156582</v>
      </c>
      <c r="L59" s="0" t="n">
        <f aca="false">SQRT((J59-H59)^2+(K59-I59)^2)</f>
        <v>4.9279174484388</v>
      </c>
      <c r="M59" s="0" t="n">
        <f aca="false">C59*(L59/MAX(E59,L59))</f>
        <v>0</v>
      </c>
      <c r="N59" s="0" t="n">
        <v>0.410088256390595</v>
      </c>
      <c r="O59" s="0" t="s">
        <v>23</v>
      </c>
      <c r="P59" s="0" t="n">
        <v>2.23816</v>
      </c>
      <c r="Q59" s="0" t="n">
        <v>5.06018</v>
      </c>
      <c r="R59" s="0" t="n">
        <v>42.4046370983124</v>
      </c>
    </row>
    <row r="60" customFormat="false" ht="13.8" hidden="false" customHeight="false" outlineLevel="0" collapsed="false">
      <c r="A60" s="0" t="n">
        <v>2.89007174032735</v>
      </c>
      <c r="B60" s="0" t="n">
        <v>5</v>
      </c>
      <c r="C60" s="0" t="n">
        <f aca="false">FALSE()</f>
        <v>0</v>
      </c>
      <c r="D60" s="0" t="n">
        <v>-120.226020926237</v>
      </c>
      <c r="E60" s="0" t="n">
        <v>7.1462350662661</v>
      </c>
      <c r="F60" s="0" t="n">
        <v>245</v>
      </c>
      <c r="G60" s="0" t="n">
        <v>1.01963030104003</v>
      </c>
      <c r="H60" s="0" t="n">
        <v>4.36598121536476</v>
      </c>
      <c r="I60" s="0" t="n">
        <v>0.587125142188698</v>
      </c>
      <c r="J60" s="0" t="n">
        <v>3.10607283019895</v>
      </c>
      <c r="K60" s="0" t="n">
        <v>4.52504144787071</v>
      </c>
      <c r="L60" s="0" t="n">
        <f aca="false">SQRT((J60-H60)^2+(K60-I60)^2)</f>
        <v>4.13455607889981</v>
      </c>
      <c r="M60" s="0" t="n">
        <f aca="false">C60*(L60/MAX(E60,L60))</f>
        <v>0</v>
      </c>
      <c r="N60" s="0" t="n">
        <v>0.528676833660158</v>
      </c>
      <c r="O60" s="0" t="s">
        <v>23</v>
      </c>
      <c r="P60" s="0" t="n">
        <v>2.23816</v>
      </c>
      <c r="Q60" s="0" t="n">
        <v>5.06018</v>
      </c>
      <c r="R60" s="0" t="n">
        <v>54.5462942123413</v>
      </c>
    </row>
    <row r="61" customFormat="false" ht="13.8" hidden="false" customHeight="false" outlineLevel="0" collapsed="false">
      <c r="A61" s="0" t="n">
        <v>2.89007174032735</v>
      </c>
      <c r="B61" s="0" t="n">
        <v>5</v>
      </c>
      <c r="C61" s="0" t="n">
        <f aca="false">TRUE()</f>
        <v>1</v>
      </c>
      <c r="D61" s="0" t="n">
        <v>109.842872696519</v>
      </c>
      <c r="E61" s="0" t="n">
        <v>13.0155984802393</v>
      </c>
      <c r="F61" s="0" t="n">
        <v>273</v>
      </c>
      <c r="G61" s="0" t="n">
        <v>0.901658817459331</v>
      </c>
      <c r="H61" s="0" t="n">
        <v>-4.41565311666912</v>
      </c>
      <c r="I61" s="0" t="n">
        <v>-2.00331722983049</v>
      </c>
      <c r="J61" s="0" t="n">
        <v>3.1030703165095</v>
      </c>
      <c r="K61" s="0" t="n">
        <v>4.80538838416934</v>
      </c>
      <c r="L61" s="0" t="n">
        <f aca="false">SQRT((J61-H61)^2+(K61-I61)^2)</f>
        <v>10.1434547469165</v>
      </c>
      <c r="M61" s="0" t="n">
        <f aca="false">C61*(L61/MAX(E61,L61))</f>
        <v>0.779330644097282</v>
      </c>
      <c r="N61" s="0" t="n">
        <v>0.750694718833204</v>
      </c>
      <c r="O61" s="0" t="s">
        <v>23</v>
      </c>
      <c r="P61" s="0" t="n">
        <v>2.23816</v>
      </c>
      <c r="Q61" s="0" t="n">
        <v>5.06018</v>
      </c>
      <c r="R61" s="0" t="n">
        <v>60.332558631897</v>
      </c>
    </row>
    <row r="62" customFormat="false" ht="13.8" hidden="false" customHeight="false" outlineLevel="0" collapsed="false">
      <c r="A62" s="0" t="n">
        <v>2.5271972542443</v>
      </c>
      <c r="B62" s="0" t="n">
        <v>-4.9953848519203</v>
      </c>
      <c r="C62" s="0" t="n">
        <f aca="false">TRUE()</f>
        <v>1</v>
      </c>
      <c r="D62" s="0" t="n">
        <v>-82.658770493269</v>
      </c>
      <c r="E62" s="0" t="n">
        <v>5.21961666851838</v>
      </c>
      <c r="F62" s="0" t="n">
        <v>212</v>
      </c>
      <c r="G62" s="0" t="n">
        <v>0.815781776985514</v>
      </c>
      <c r="H62" s="0" t="n">
        <v>0.701120183336607</v>
      </c>
      <c r="I62" s="0" t="n">
        <v>-0.489674674026088</v>
      </c>
      <c r="J62" s="0" t="n">
        <v>2.17196957480683</v>
      </c>
      <c r="K62" s="0" t="n">
        <v>-4.64368436281013</v>
      </c>
      <c r="L62" s="0" t="n">
        <f aca="false">SQRT((J62-H62)^2+(K62-I62)^2)</f>
        <v>4.40672150548455</v>
      </c>
      <c r="M62" s="0" t="n">
        <f aca="false">C62*(L62/MAX(E62,L62))</f>
        <v>0.844261520594657</v>
      </c>
      <c r="N62" s="0" t="n">
        <v>0.79647437739475</v>
      </c>
      <c r="O62" s="0" t="s">
        <v>24</v>
      </c>
      <c r="P62" s="0" t="n">
        <v>2.66041</v>
      </c>
      <c r="Q62" s="0" t="n">
        <v>-5.29708</v>
      </c>
      <c r="R62" s="0" t="n">
        <v>47.0144894123077</v>
      </c>
    </row>
    <row r="63" customFormat="false" ht="13.8" hidden="false" customHeight="false" outlineLevel="0" collapsed="false">
      <c r="A63" s="0" t="n">
        <v>2.5271972542443</v>
      </c>
      <c r="B63" s="0" t="n">
        <v>-4.9953848519203</v>
      </c>
      <c r="C63" s="0" t="n">
        <f aca="false">TRUE()</f>
        <v>1</v>
      </c>
      <c r="D63" s="0" t="n">
        <v>-80.365962857008</v>
      </c>
      <c r="E63" s="0" t="n">
        <v>8.53036704700611</v>
      </c>
      <c r="F63" s="0" t="n">
        <v>274</v>
      </c>
      <c r="G63" s="0" t="n">
        <v>0.871404325197667</v>
      </c>
      <c r="H63" s="0" t="n">
        <v>-3.78960372111626</v>
      </c>
      <c r="I63" s="0" t="n">
        <v>0.931678276550251</v>
      </c>
      <c r="J63" s="0" t="n">
        <v>2.10343846099048</v>
      </c>
      <c r="K63" s="0" t="n">
        <v>-4.6269097211107</v>
      </c>
      <c r="L63" s="0" t="n">
        <f aca="false">SQRT((J63-H63)^2+(K63-I63)^2)</f>
        <v>8.10097813154867</v>
      </c>
      <c r="M63" s="0" t="n">
        <f aca="false">C63*(L63/MAX(E63,L63))</f>
        <v>0.949663488910697</v>
      </c>
      <c r="N63" s="0" t="n">
        <v>0.471458824730709</v>
      </c>
      <c r="O63" s="0" t="s">
        <v>24</v>
      </c>
      <c r="P63" s="0" t="n">
        <v>2.66041</v>
      </c>
      <c r="Q63" s="0" t="n">
        <v>-5.29708</v>
      </c>
      <c r="R63" s="0" t="n">
        <v>60.7050669193268</v>
      </c>
    </row>
    <row r="64" customFormat="false" ht="13.8" hidden="false" customHeight="false" outlineLevel="0" collapsed="false">
      <c r="A64" s="0" t="n">
        <v>2.5271972542443</v>
      </c>
      <c r="B64" s="0" t="n">
        <v>-4.9953848519203</v>
      </c>
      <c r="C64" s="0" t="n">
        <f aca="false">TRUE()</f>
        <v>1</v>
      </c>
      <c r="D64" s="0" t="n">
        <v>-66.3798179274798</v>
      </c>
      <c r="E64" s="0" t="n">
        <v>9.10407782735073</v>
      </c>
      <c r="F64" s="0" t="n">
        <v>287</v>
      </c>
      <c r="G64" s="0" t="n">
        <v>0.910968324028272</v>
      </c>
      <c r="H64" s="0" t="n">
        <v>1.50718150690583</v>
      </c>
      <c r="I64" s="0" t="n">
        <v>1.13776711757915</v>
      </c>
      <c r="J64" s="0" t="n">
        <v>1.98325448799313</v>
      </c>
      <c r="K64" s="0" t="n">
        <v>-4.68771664374892</v>
      </c>
      <c r="L64" s="0" t="n">
        <f aca="false">SQRT((J64-H64)^2+(K64-I64)^2)</f>
        <v>5.84490432229805</v>
      </c>
      <c r="M64" s="0" t="n">
        <f aca="false">C64*(L64/MAX(E64,L64))</f>
        <v>0.642009485544886</v>
      </c>
      <c r="N64" s="0" t="n">
        <v>0.487009293522427</v>
      </c>
      <c r="O64" s="0" t="s">
        <v>24</v>
      </c>
      <c r="P64" s="0" t="n">
        <v>2.66041</v>
      </c>
      <c r="Q64" s="0" t="n">
        <v>-5.29708</v>
      </c>
      <c r="R64" s="0" t="n">
        <v>63.3072509765625</v>
      </c>
    </row>
    <row r="65" customFormat="false" ht="13.8" hidden="false" customHeight="false" outlineLevel="0" collapsed="false">
      <c r="A65" s="0" t="n">
        <v>2.5271972542443</v>
      </c>
      <c r="B65" s="0" t="n">
        <v>-4.9953848519203</v>
      </c>
      <c r="C65" s="0" t="n">
        <f aca="false">FALSE()</f>
        <v>0</v>
      </c>
      <c r="D65" s="0" t="n">
        <v>-93.0964163333178</v>
      </c>
      <c r="E65" s="0" t="n">
        <v>1.80773118678168</v>
      </c>
      <c r="F65" s="0" t="n">
        <v>198</v>
      </c>
      <c r="G65" s="0" t="n">
        <v>3.32398262376076</v>
      </c>
      <c r="H65" s="0" t="n">
        <v>0.385194056422446</v>
      </c>
      <c r="I65" s="0" t="n">
        <v>-1.89968904918987</v>
      </c>
      <c r="J65" s="0" t="n">
        <v>2.18820082498</v>
      </c>
      <c r="K65" s="0" t="n">
        <v>-2.00680964969588</v>
      </c>
      <c r="L65" s="0" t="n">
        <f aca="false">SQRT((J65-H65)^2+(K65-I65)^2)</f>
        <v>1.80618610074298</v>
      </c>
      <c r="M65" s="0" t="n">
        <f aca="false">C65*(L65/MAX(E65,L65))</f>
        <v>0</v>
      </c>
      <c r="N65" s="0" t="n">
        <v>0.926394694995299</v>
      </c>
      <c r="O65" s="0" t="s">
        <v>24</v>
      </c>
      <c r="P65" s="0" t="n">
        <v>2.66041</v>
      </c>
      <c r="Q65" s="0" t="n">
        <v>-5.29708</v>
      </c>
      <c r="R65" s="0" t="n">
        <v>43.8703773021698</v>
      </c>
    </row>
    <row r="66" customFormat="false" ht="13.8" hidden="false" customHeight="false" outlineLevel="0" collapsed="false">
      <c r="A66" s="0" t="n">
        <v>2.5271972542443</v>
      </c>
      <c r="B66" s="0" t="n">
        <v>-4.9953848519203</v>
      </c>
      <c r="C66" s="0" t="n">
        <f aca="false">TRUE()</f>
        <v>1</v>
      </c>
      <c r="D66" s="0" t="n">
        <v>-64.6895626866817</v>
      </c>
      <c r="E66" s="0" t="n">
        <v>8.19502213670176</v>
      </c>
      <c r="F66" s="0" t="n">
        <v>260</v>
      </c>
      <c r="G66" s="0" t="n">
        <v>0.903126361047701</v>
      </c>
      <c r="H66" s="0" t="n">
        <v>1.716096148968</v>
      </c>
      <c r="I66" s="0" t="n">
        <v>1.00044804964235</v>
      </c>
      <c r="J66" s="0" t="n">
        <v>1.99849123013884</v>
      </c>
      <c r="K66" s="0" t="n">
        <v>-4.68266909016462</v>
      </c>
      <c r="L66" s="0" t="n">
        <f aca="false">SQRT((J66-H66)^2+(K66-I66)^2)</f>
        <v>5.69012894464064</v>
      </c>
      <c r="M66" s="0" t="n">
        <f aca="false">C66*(L66/MAX(E66,L66))</f>
        <v>0.694339667388713</v>
      </c>
      <c r="N66" s="0" t="n">
        <v>0.565725801343117</v>
      </c>
      <c r="O66" s="0" t="s">
        <v>24</v>
      </c>
      <c r="P66" s="0" t="n">
        <v>2.66041</v>
      </c>
      <c r="Q66" s="0" t="n">
        <v>-5.29708</v>
      </c>
      <c r="R66" s="0" t="n">
        <v>57.8738086223602</v>
      </c>
    </row>
    <row r="67" customFormat="false" ht="13.8" hidden="false" customHeight="false" outlineLevel="0" collapsed="false">
      <c r="A67" s="0" t="n">
        <v>2.5271972542443</v>
      </c>
      <c r="B67" s="0" t="n">
        <v>-4.9953848519203</v>
      </c>
      <c r="C67" s="0" t="n">
        <f aca="false">TRUE()</f>
        <v>1</v>
      </c>
      <c r="D67" s="0" t="n">
        <v>-66.6920328551531</v>
      </c>
      <c r="E67" s="0" t="n">
        <v>10.2887310520201</v>
      </c>
      <c r="F67" s="0" t="n">
        <v>322</v>
      </c>
      <c r="G67" s="0" t="n">
        <v>0.899474775468242</v>
      </c>
      <c r="H67" s="0" t="n">
        <v>4.0071379193159</v>
      </c>
      <c r="I67" s="0" t="n">
        <v>0.729421975414298</v>
      </c>
      <c r="J67" s="0" t="n">
        <v>2.02611243061455</v>
      </c>
      <c r="K67" s="0" t="n">
        <v>-4.65933282033132</v>
      </c>
      <c r="L67" s="0" t="n">
        <f aca="false">SQRT((J67-H67)^2+(K67-I67)^2)</f>
        <v>5.7413535194722</v>
      </c>
      <c r="M67" s="0" t="n">
        <f aca="false">C67*(L67/MAX(E67,L67))</f>
        <v>0.558023481267394</v>
      </c>
      <c r="N67" s="0" t="n">
        <v>0.719143281053199</v>
      </c>
      <c r="O67" s="0" t="s">
        <v>24</v>
      </c>
      <c r="P67" s="0" t="n">
        <v>2.66041</v>
      </c>
      <c r="Q67" s="0" t="n">
        <v>-5.29708</v>
      </c>
      <c r="R67" s="0" t="n">
        <v>71.3553199768066</v>
      </c>
    </row>
    <row r="68" customFormat="false" ht="13.8" hidden="false" customHeight="false" outlineLevel="0" collapsed="false">
      <c r="A68" s="0" t="n">
        <v>2.5271972542443</v>
      </c>
      <c r="B68" s="0" t="n">
        <v>-4.9953848519203</v>
      </c>
      <c r="C68" s="0" t="n">
        <f aca="false">FALSE()</f>
        <v>0</v>
      </c>
      <c r="D68" s="0" t="n">
        <v>-100</v>
      </c>
      <c r="E68" s="0" t="n">
        <v>0.0973821208349139</v>
      </c>
      <c r="F68" s="0" t="n">
        <v>1</v>
      </c>
      <c r="G68" s="0" t="n">
        <v>5.65420466657036</v>
      </c>
      <c r="H68" s="0" t="n">
        <v>2.2156535853899</v>
      </c>
      <c r="I68" s="0" t="n">
        <v>0.379800414043061</v>
      </c>
      <c r="J68" s="0" t="n">
        <v>2.30700733188262</v>
      </c>
      <c r="K68" s="0" t="n">
        <v>0.346069560806761</v>
      </c>
      <c r="L68" s="0" t="n">
        <f aca="false">SQRT((J68-H68)^2+(K68-I68)^2)</f>
        <v>0.0973821208349135</v>
      </c>
      <c r="M68" s="0" t="n">
        <f aca="false">C68*(L68/MAX(E68,L68))</f>
        <v>0</v>
      </c>
      <c r="N68" s="0" t="n">
        <v>0.392469656517818</v>
      </c>
      <c r="O68" s="0" t="s">
        <v>24</v>
      </c>
      <c r="P68" s="0" t="n">
        <v>2.66041</v>
      </c>
      <c r="Q68" s="0" t="n">
        <v>-5.29708</v>
      </c>
      <c r="R68" s="0" t="n">
        <v>0.442216396331787</v>
      </c>
    </row>
    <row r="69" customFormat="false" ht="13.8" hidden="false" customHeight="false" outlineLevel="0" collapsed="false">
      <c r="A69" s="0" t="n">
        <v>2.5271972542443</v>
      </c>
      <c r="B69" s="0" t="n">
        <v>-4.9953848519203</v>
      </c>
      <c r="C69" s="0" t="n">
        <f aca="false">FALSE()</f>
        <v>0</v>
      </c>
      <c r="D69" s="0" t="n">
        <v>-100.499750852585</v>
      </c>
      <c r="E69" s="0" t="n">
        <v>0.267571054935</v>
      </c>
      <c r="F69" s="0" t="n">
        <v>2</v>
      </c>
      <c r="G69" s="0" t="n">
        <v>4.65400585693363</v>
      </c>
      <c r="H69" s="0" t="n">
        <v>4.276897574873</v>
      </c>
      <c r="I69" s="0" t="n">
        <v>-1.20569058938708</v>
      </c>
      <c r="J69" s="0" t="n">
        <v>4.38220901160437</v>
      </c>
      <c r="K69" s="0" t="n">
        <v>-0.973287835705935</v>
      </c>
      <c r="L69" s="0" t="n">
        <f aca="false">SQRT((J69-H69)^2+(K69-I69)^2)</f>
        <v>0.255150031599066</v>
      </c>
      <c r="M69" s="0" t="n">
        <f aca="false">C69*(L69/MAX(E69,L69))</f>
        <v>0</v>
      </c>
      <c r="N69" s="0" t="n">
        <v>0.439417500483968</v>
      </c>
      <c r="O69" s="0" t="s">
        <v>24</v>
      </c>
      <c r="P69" s="0" t="n">
        <v>2.66041</v>
      </c>
      <c r="Q69" s="0" t="n">
        <v>-5.29708</v>
      </c>
      <c r="R69" s="0" t="n">
        <v>0.631495475769043</v>
      </c>
    </row>
    <row r="70" customFormat="false" ht="13.8" hidden="false" customHeight="false" outlineLevel="0" collapsed="false">
      <c r="A70" s="0" t="n">
        <v>2.5271972542443</v>
      </c>
      <c r="B70" s="0" t="n">
        <v>-4.9953848519203</v>
      </c>
      <c r="C70" s="0" t="n">
        <f aca="false">TRUE()</f>
        <v>1</v>
      </c>
      <c r="D70" s="0" t="n">
        <v>-78.9249193584919</v>
      </c>
      <c r="E70" s="0" t="n">
        <v>6.38996736873573</v>
      </c>
      <c r="F70" s="0" t="n">
        <v>234</v>
      </c>
      <c r="G70" s="0" t="n">
        <v>0.910694911456666</v>
      </c>
      <c r="H70" s="0" t="n">
        <v>0.929405107805528</v>
      </c>
      <c r="I70" s="0" t="n">
        <v>0.00494922316626256</v>
      </c>
      <c r="J70" s="0" t="n">
        <v>2.00764623432107</v>
      </c>
      <c r="K70" s="0" t="n">
        <v>-4.66204875039906</v>
      </c>
      <c r="L70" s="0" t="n">
        <f aca="false">SQRT((J70-H70)^2+(K70-I70)^2)</f>
        <v>4.78993465635726</v>
      </c>
      <c r="M70" s="0" t="n">
        <f aca="false">C70*(L70/MAX(E70,L70))</f>
        <v>0.749602365701119</v>
      </c>
      <c r="N70" s="0" t="n">
        <v>0.904914032859051</v>
      </c>
      <c r="O70" s="0" t="s">
        <v>24</v>
      </c>
      <c r="P70" s="0" t="n">
        <v>2.66041</v>
      </c>
      <c r="Q70" s="0" t="n">
        <v>-5.29708</v>
      </c>
      <c r="R70" s="0" t="n">
        <v>51.9330699443817</v>
      </c>
    </row>
    <row r="71" customFormat="false" ht="13.8" hidden="false" customHeight="false" outlineLevel="0" collapsed="false">
      <c r="A71" s="0" t="n">
        <v>2.5271972542443</v>
      </c>
      <c r="B71" s="0" t="n">
        <v>-4.9953848519203</v>
      </c>
      <c r="C71" s="0" t="n">
        <f aca="false">TRUE()</f>
        <v>1</v>
      </c>
      <c r="D71" s="0" t="n">
        <v>-88.8789190399647</v>
      </c>
      <c r="E71" s="0" t="n">
        <v>5.46223958499732</v>
      </c>
      <c r="F71" s="0" t="n">
        <v>219</v>
      </c>
      <c r="G71" s="0" t="n">
        <v>0.905566509808149</v>
      </c>
      <c r="H71" s="0" t="n">
        <v>0.65460571040999</v>
      </c>
      <c r="I71" s="0" t="n">
        <v>-0.880924825357367</v>
      </c>
      <c r="J71" s="0" t="n">
        <v>2.01850734361033</v>
      </c>
      <c r="K71" s="0" t="n">
        <v>-4.65832207761782</v>
      </c>
      <c r="L71" s="0" t="n">
        <f aca="false">SQRT((J71-H71)^2+(K71-I71)^2)</f>
        <v>4.01608735791832</v>
      </c>
      <c r="M71" s="0" t="n">
        <f aca="false">C71*(L71/MAX(E71,L71))</f>
        <v>0.735245551833533</v>
      </c>
      <c r="N71" s="0" t="n">
        <v>0.528086153366563</v>
      </c>
      <c r="O71" s="0" t="s">
        <v>24</v>
      </c>
      <c r="P71" s="0" t="n">
        <v>2.66041</v>
      </c>
      <c r="Q71" s="0" t="n">
        <v>-5.29708</v>
      </c>
      <c r="R71" s="0" t="n">
        <v>48.6677458286285</v>
      </c>
    </row>
    <row r="72" customFormat="false" ht="13.8" hidden="false" customHeight="false" outlineLevel="0" collapsed="false">
      <c r="A72" s="0" t="n">
        <v>5</v>
      </c>
      <c r="B72" s="0" t="n">
        <v>-4.83031906087076</v>
      </c>
      <c r="C72" s="0" t="n">
        <f aca="false">FALSE()</f>
        <v>0</v>
      </c>
      <c r="D72" s="0" t="n">
        <v>-95.4291577458382</v>
      </c>
      <c r="E72" s="0" t="n">
        <v>3.46549574339147</v>
      </c>
      <c r="F72" s="0" t="n">
        <v>179</v>
      </c>
      <c r="G72" s="0" t="n">
        <v>4.75955087135941</v>
      </c>
      <c r="H72" s="0" t="n">
        <v>-0.863578998038828</v>
      </c>
      <c r="I72" s="0" t="n">
        <v>-1.47529784361216</v>
      </c>
      <c r="J72" s="0" t="n">
        <v>1.96888347966289</v>
      </c>
      <c r="K72" s="0" t="n">
        <v>-1.21196881842528</v>
      </c>
      <c r="L72" s="0" t="n">
        <f aca="false">SQRT((J72-H72)^2+(K72-I72)^2)</f>
        <v>2.84467675898229</v>
      </c>
      <c r="M72" s="0" t="n">
        <f aca="false">C72*(L72/MAX(E72,L72))</f>
        <v>0</v>
      </c>
      <c r="N72" s="0" t="n">
        <v>0.98139205621571</v>
      </c>
      <c r="O72" s="0" t="s">
        <v>25</v>
      </c>
      <c r="P72" s="0" t="n">
        <v>5.30811</v>
      </c>
      <c r="Q72" s="0" t="n">
        <v>-4.60356</v>
      </c>
      <c r="R72" s="0" t="n">
        <v>40.0972518920898</v>
      </c>
    </row>
    <row r="73" customFormat="false" ht="13.8" hidden="false" customHeight="false" outlineLevel="0" collapsed="false">
      <c r="A73" s="0" t="n">
        <v>5</v>
      </c>
      <c r="B73" s="0" t="n">
        <v>-4.83031906087076</v>
      </c>
      <c r="C73" s="0" t="n">
        <f aca="false">TRUE()</f>
        <v>1</v>
      </c>
      <c r="D73" s="0" t="n">
        <v>111.595265334845</v>
      </c>
      <c r="E73" s="0" t="n">
        <v>7.03447871016421</v>
      </c>
      <c r="F73" s="0" t="n">
        <v>178</v>
      </c>
      <c r="G73" s="0" t="n">
        <v>0.588458341721915</v>
      </c>
      <c r="H73" s="0" t="n">
        <v>-0.217145505734644</v>
      </c>
      <c r="I73" s="0" t="n">
        <v>-1.3082300247589</v>
      </c>
      <c r="J73" s="0" t="n">
        <v>4.73647232702676</v>
      </c>
      <c r="K73" s="0" t="n">
        <v>-4.74325105475958</v>
      </c>
      <c r="L73" s="0" t="n">
        <f aca="false">SQRT((J73-H73)^2+(K73-I73)^2)</f>
        <v>6.02807590443242</v>
      </c>
      <c r="M73" s="0" t="n">
        <f aca="false">C73*(L73/MAX(E73,L73))</f>
        <v>0.85693285214189</v>
      </c>
      <c r="N73" s="0" t="n">
        <v>0.97131670793417</v>
      </c>
      <c r="O73" s="0" t="s">
        <v>25</v>
      </c>
      <c r="P73" s="0" t="n">
        <v>5.30811</v>
      </c>
      <c r="Q73" s="0" t="n">
        <v>-4.60356</v>
      </c>
      <c r="R73" s="0" t="n">
        <v>39.3592395782471</v>
      </c>
    </row>
    <row r="74" customFormat="false" ht="13.8" hidden="false" customHeight="false" outlineLevel="0" collapsed="false">
      <c r="A74" s="0" t="n">
        <v>5</v>
      </c>
      <c r="B74" s="0" t="n">
        <v>-4.83031906087076</v>
      </c>
      <c r="C74" s="0" t="n">
        <f aca="false">TRUE()</f>
        <v>1</v>
      </c>
      <c r="D74" s="0" t="n">
        <v>120.09036636889</v>
      </c>
      <c r="E74" s="0" t="n">
        <v>6.58913993410138</v>
      </c>
      <c r="F74" s="0" t="n">
        <v>119</v>
      </c>
      <c r="G74" s="0" t="n">
        <v>0.59403857999125</v>
      </c>
      <c r="H74" s="0" t="n">
        <v>2.31467832573566</v>
      </c>
      <c r="I74" s="0" t="n">
        <v>0.725939863101556</v>
      </c>
      <c r="J74" s="0" t="n">
        <v>4.74246930937113</v>
      </c>
      <c r="K74" s="0" t="n">
        <v>-4.78503298317633</v>
      </c>
      <c r="L74" s="0" t="n">
        <f aca="false">SQRT((J74-H74)^2+(K74-I74)^2)</f>
        <v>6.02204207662433</v>
      </c>
      <c r="M74" s="0" t="n">
        <f aca="false">C74*(L74/MAX(E74,L74))</f>
        <v>0.913934464414377</v>
      </c>
      <c r="N74" s="0" t="n">
        <v>0.861920734055635</v>
      </c>
      <c r="O74" s="0" t="s">
        <v>25</v>
      </c>
      <c r="P74" s="0" t="n">
        <v>5.30811</v>
      </c>
      <c r="Q74" s="0" t="n">
        <v>-4.60356</v>
      </c>
      <c r="R74" s="0" t="n">
        <v>26.5182049274445</v>
      </c>
    </row>
    <row r="75" customFormat="false" ht="13.8" hidden="false" customHeight="false" outlineLevel="0" collapsed="false">
      <c r="A75" s="0" t="n">
        <v>5</v>
      </c>
      <c r="B75" s="0" t="n">
        <v>-4.83031906087076</v>
      </c>
      <c r="C75" s="0" t="n">
        <f aca="false">TRUE()</f>
        <v>1</v>
      </c>
      <c r="D75" s="0" t="n">
        <v>88.7470908331871</v>
      </c>
      <c r="E75" s="0" t="n">
        <v>6.43665652262539</v>
      </c>
      <c r="F75" s="0" t="n">
        <v>197</v>
      </c>
      <c r="G75" s="0" t="n">
        <v>0.652640550080952</v>
      </c>
      <c r="H75" s="0" t="n">
        <v>0.761079903738363</v>
      </c>
      <c r="I75" s="0" t="n">
        <v>-1.42891848753957</v>
      </c>
      <c r="J75" s="0" t="n">
        <v>4.81897366810133</v>
      </c>
      <c r="K75" s="0" t="n">
        <v>-5.03563098540249</v>
      </c>
      <c r="L75" s="0" t="n">
        <f aca="false">SQRT((J75-H75)^2+(K75-I75)^2)</f>
        <v>5.42907697910948</v>
      </c>
      <c r="M75" s="0" t="n">
        <f aca="false">C75*(L75/MAX(E75,L75))</f>
        <v>0.843462278906109</v>
      </c>
      <c r="N75" s="0" t="n">
        <v>0.700683903363134</v>
      </c>
      <c r="O75" s="0" t="s">
        <v>25</v>
      </c>
      <c r="P75" s="0" t="n">
        <v>5.30811</v>
      </c>
      <c r="Q75" s="0" t="n">
        <v>-4.60356</v>
      </c>
      <c r="R75" s="0" t="n">
        <v>43.7118093967438</v>
      </c>
    </row>
    <row r="76" customFormat="false" ht="13.8" hidden="false" customHeight="false" outlineLevel="0" collapsed="false">
      <c r="A76" s="0" t="n">
        <v>5</v>
      </c>
      <c r="B76" s="0" t="n">
        <v>-4.83031906087076</v>
      </c>
      <c r="C76" s="0" t="n">
        <f aca="false">TRUE()</f>
        <v>1</v>
      </c>
      <c r="D76" s="0" t="n">
        <v>127.48870833993</v>
      </c>
      <c r="E76" s="0" t="n">
        <v>8.48789671401763</v>
      </c>
      <c r="F76" s="0" t="n">
        <v>156</v>
      </c>
      <c r="G76" s="0" t="n">
        <v>0.635492874820936</v>
      </c>
      <c r="H76" s="0" t="n">
        <v>0.401269579843108</v>
      </c>
      <c r="I76" s="0" t="n">
        <v>0.487269477026839</v>
      </c>
      <c r="J76" s="0" t="n">
        <v>4.71495807868479</v>
      </c>
      <c r="K76" s="0" t="n">
        <v>-4.83164330098508</v>
      </c>
      <c r="L76" s="0" t="n">
        <f aca="false">SQRT((J76-H76)^2+(K76-I76)^2)</f>
        <v>6.84826559101919</v>
      </c>
      <c r="M76" s="0" t="n">
        <f aca="false">C76*(L76/MAX(E76,L76))</f>
        <v>0.806827158924942</v>
      </c>
      <c r="N76" s="0" t="n">
        <v>0.990684224310578</v>
      </c>
      <c r="O76" s="0" t="s">
        <v>25</v>
      </c>
      <c r="P76" s="0" t="n">
        <v>5.30811</v>
      </c>
      <c r="Q76" s="0" t="n">
        <v>-4.60356</v>
      </c>
      <c r="R76" s="0" t="n">
        <v>34.5429553985596</v>
      </c>
    </row>
    <row r="77" customFormat="false" ht="13.8" hidden="false" customHeight="false" outlineLevel="0" collapsed="false">
      <c r="A77" s="0" t="n">
        <v>5</v>
      </c>
      <c r="B77" s="0" t="n">
        <v>-4.83031906087076</v>
      </c>
      <c r="C77" s="0" t="n">
        <f aca="false">FALSE()</f>
        <v>0</v>
      </c>
      <c r="D77" s="0" t="n">
        <v>-114.654264134765</v>
      </c>
      <c r="E77" s="0" t="n">
        <v>0.288348438347989</v>
      </c>
      <c r="F77" s="0" t="n">
        <v>126</v>
      </c>
      <c r="G77" s="0" t="n">
        <v>4.39852469494137</v>
      </c>
      <c r="H77" s="0" t="n">
        <v>2.07413703648991</v>
      </c>
      <c r="I77" s="0" t="n">
        <v>-1.24467725698736</v>
      </c>
      <c r="J77" s="0" t="n">
        <v>2.33244565590418</v>
      </c>
      <c r="K77" s="0" t="n">
        <v>-1.3643562084355</v>
      </c>
      <c r="L77" s="0" t="n">
        <f aca="false">SQRT((J77-H77)^2+(K77-I77)^2)</f>
        <v>0.284686484195218</v>
      </c>
      <c r="M77" s="0" t="n">
        <f aca="false">C77*(L77/MAX(E77,L77))</f>
        <v>0</v>
      </c>
      <c r="N77" s="0" t="n">
        <v>0.645282134521042</v>
      </c>
      <c r="O77" s="0" t="s">
        <v>25</v>
      </c>
      <c r="P77" s="0" t="n">
        <v>5.30811</v>
      </c>
      <c r="Q77" s="0" t="n">
        <v>-4.60356</v>
      </c>
      <c r="R77" s="0" t="n">
        <v>28.1711211204529</v>
      </c>
    </row>
    <row r="78" customFormat="false" ht="13.8" hidden="false" customHeight="false" outlineLevel="0" collapsed="false">
      <c r="A78" s="0" t="n">
        <v>5</v>
      </c>
      <c r="B78" s="0" t="n">
        <v>-4.83031906087076</v>
      </c>
      <c r="C78" s="0" t="n">
        <f aca="false">TRUE()</f>
        <v>1</v>
      </c>
      <c r="D78" s="0" t="n">
        <v>123.739142897725</v>
      </c>
      <c r="E78" s="0" t="n">
        <v>7.97773417542786</v>
      </c>
      <c r="F78" s="0" t="n">
        <v>164</v>
      </c>
      <c r="G78" s="0" t="n">
        <v>0.623420973448085</v>
      </c>
      <c r="H78" s="0" t="n">
        <v>0.843127687219338</v>
      </c>
      <c r="I78" s="0" t="n">
        <v>-0.528147779780494</v>
      </c>
      <c r="J78" s="0" t="n">
        <v>4.70880583066656</v>
      </c>
      <c r="K78" s="0" t="n">
        <v>-4.7752813520635</v>
      </c>
      <c r="L78" s="0" t="n">
        <f aca="false">SQRT((J78-H78)^2+(K78-I78)^2)</f>
        <v>5.74296187428917</v>
      </c>
      <c r="M78" s="0" t="n">
        <f aca="false">C78*(L78/MAX(E78,L78))</f>
        <v>0.719873807274503</v>
      </c>
      <c r="N78" s="0" t="n">
        <v>0.740650423942061</v>
      </c>
      <c r="O78" s="0" t="s">
        <v>25</v>
      </c>
      <c r="P78" s="0" t="n">
        <v>5.30811</v>
      </c>
      <c r="Q78" s="0" t="n">
        <v>-4.60356</v>
      </c>
      <c r="R78" s="0" t="n">
        <v>36.3556356430054</v>
      </c>
    </row>
    <row r="79" customFormat="false" ht="13.8" hidden="false" customHeight="false" outlineLevel="0" collapsed="false">
      <c r="A79" s="0" t="n">
        <v>5</v>
      </c>
      <c r="B79" s="0" t="n">
        <v>-4.83031906087076</v>
      </c>
      <c r="C79" s="0" t="n">
        <f aca="false">FALSE()</f>
        <v>0</v>
      </c>
      <c r="D79" s="0" t="n">
        <v>-76.1546861064434</v>
      </c>
      <c r="E79" s="0" t="n">
        <v>5.9379092673421</v>
      </c>
      <c r="F79" s="0" t="n">
        <v>219</v>
      </c>
      <c r="G79" s="0" t="n">
        <v>5.00592434181576</v>
      </c>
      <c r="H79" s="0" t="n">
        <v>-4.14129897660996</v>
      </c>
      <c r="I79" s="0" t="n">
        <v>-2.25759484478824</v>
      </c>
      <c r="J79" s="0" t="n">
        <v>1.33819011488654</v>
      </c>
      <c r="K79" s="0" t="n">
        <v>-1.55413142701058</v>
      </c>
      <c r="L79" s="0" t="n">
        <f aca="false">SQRT((J79-H79)^2+(K79-I79)^2)</f>
        <v>5.52446028893145</v>
      </c>
      <c r="M79" s="0" t="n">
        <f aca="false">C79*(L79/MAX(E79,L79))</f>
        <v>0</v>
      </c>
      <c r="N79" s="0" t="n">
        <v>0.520589356257365</v>
      </c>
      <c r="O79" s="0" t="s">
        <v>25</v>
      </c>
      <c r="P79" s="0" t="n">
        <v>5.30811</v>
      </c>
      <c r="Q79" s="0" t="n">
        <v>-4.60356</v>
      </c>
      <c r="R79" s="0" t="n">
        <v>48.6809771060944</v>
      </c>
    </row>
    <row r="80" customFormat="false" ht="13.8" hidden="false" customHeight="false" outlineLevel="0" collapsed="false">
      <c r="A80" s="0" t="n">
        <v>5</v>
      </c>
      <c r="B80" s="0" t="n">
        <v>-4.83031906087076</v>
      </c>
      <c r="C80" s="0" t="n">
        <f aca="false">TRUE()</f>
        <v>1</v>
      </c>
      <c r="D80" s="0" t="n">
        <v>174.437341712713</v>
      </c>
      <c r="E80" s="0" t="n">
        <v>16.8932404441266</v>
      </c>
      <c r="F80" s="0" t="n">
        <v>296</v>
      </c>
      <c r="G80" s="0" t="n">
        <v>0.607323091286319</v>
      </c>
      <c r="H80" s="0" t="n">
        <v>-4.04597140326088</v>
      </c>
      <c r="I80" s="0" t="n">
        <v>0.741642692072292</v>
      </c>
      <c r="J80" s="0" t="n">
        <v>4.72145117362799</v>
      </c>
      <c r="K80" s="0" t="n">
        <v>-4.76063564626443</v>
      </c>
      <c r="L80" s="0" t="n">
        <f aca="false">SQRT((J80-H80)^2+(K80-I80)^2)</f>
        <v>10.3509789659853</v>
      </c>
      <c r="M80" s="0" t="n">
        <f aca="false">C80*(L80/MAX(E80,L80))</f>
        <v>0.612729037997212</v>
      </c>
      <c r="N80" s="0" t="n">
        <v>0.669725035465961</v>
      </c>
      <c r="O80" s="0" t="s">
        <v>25</v>
      </c>
      <c r="P80" s="0" t="n">
        <v>5.30811</v>
      </c>
      <c r="Q80" s="0" t="n">
        <v>-4.60356</v>
      </c>
      <c r="R80" s="0" t="n">
        <v>65.3648836612701</v>
      </c>
    </row>
    <row r="81" customFormat="false" ht="13.8" hidden="false" customHeight="false" outlineLevel="0" collapsed="false">
      <c r="A81" s="0" t="n">
        <v>5</v>
      </c>
      <c r="B81" s="0" t="n">
        <v>-4.83031906087076</v>
      </c>
      <c r="C81" s="0" t="n">
        <f aca="false">TRUE()</f>
        <v>1</v>
      </c>
      <c r="D81" s="0" t="n">
        <v>133.528744994402</v>
      </c>
      <c r="E81" s="0" t="n">
        <v>8.01402820368544</v>
      </c>
      <c r="F81" s="0" t="n">
        <v>139</v>
      </c>
      <c r="G81" s="0" t="n">
        <v>0.593483247861391</v>
      </c>
      <c r="H81" s="0" t="n">
        <v>-0.689722164202305</v>
      </c>
      <c r="I81" s="0" t="n">
        <v>-0.225792013300647</v>
      </c>
      <c r="J81" s="0" t="n">
        <v>4.72952176494316</v>
      </c>
      <c r="K81" s="0" t="n">
        <v>-4.73568879983531</v>
      </c>
      <c r="L81" s="0" t="n">
        <f aca="false">SQRT((J81-H81)^2+(K81-I81)^2)</f>
        <v>7.05034565030508</v>
      </c>
      <c r="M81" s="0" t="n">
        <f aca="false">C81*(L81/MAX(E81,L81))</f>
        <v>0.879750541314892</v>
      </c>
      <c r="N81" s="0" t="n">
        <v>0.663938974719563</v>
      </c>
      <c r="O81" s="0" t="s">
        <v>25</v>
      </c>
      <c r="P81" s="0" t="n">
        <v>5.30811</v>
      </c>
      <c r="Q81" s="0" t="n">
        <v>-4.60356</v>
      </c>
      <c r="R81" s="0" t="n">
        <v>30.8645226955414</v>
      </c>
    </row>
    <row r="82" customFormat="false" ht="13.8" hidden="false" customHeight="false" outlineLevel="0" collapsed="false">
      <c r="A82" s="0" t="n">
        <v>2.18791860498789</v>
      </c>
      <c r="B82" s="0" t="n">
        <v>-0.014571652827494</v>
      </c>
      <c r="C82" s="0" t="n">
        <f aca="false">TRUE()</f>
        <v>1</v>
      </c>
      <c r="D82" s="0" t="n">
        <v>-125.220186263323</v>
      </c>
      <c r="E82" s="0" t="n">
        <v>1.40249251095495</v>
      </c>
      <c r="F82" s="0" t="n">
        <v>90</v>
      </c>
      <c r="G82" s="0" t="n">
        <v>0.409023751177574</v>
      </c>
      <c r="H82" s="0" t="n">
        <v>0.719098166798151</v>
      </c>
      <c r="I82" s="0" t="n">
        <v>-0.504778053666934</v>
      </c>
      <c r="J82" s="0" t="n">
        <v>1.72745258588669</v>
      </c>
      <c r="K82" s="0" t="n">
        <v>0.304989075357665</v>
      </c>
      <c r="L82" s="0" t="n">
        <f aca="false">SQRT((J82-H82)^2+(K82-I82)^2)</f>
        <v>1.29325227150163</v>
      </c>
      <c r="M82" s="0" t="n">
        <f aca="false">C82*(L82/MAX(E82,L82))</f>
        <v>0.922109930284806</v>
      </c>
      <c r="N82" s="0" t="n">
        <v>0.506910418437694</v>
      </c>
      <c r="O82" s="0" t="s">
        <v>26</v>
      </c>
      <c r="P82" s="0" t="n">
        <v>2</v>
      </c>
      <c r="Q82" s="0" t="n">
        <v>0</v>
      </c>
      <c r="R82" s="0" t="n">
        <v>20.1638350486755</v>
      </c>
    </row>
    <row r="83" customFormat="false" ht="13.8" hidden="false" customHeight="false" outlineLevel="0" collapsed="false">
      <c r="A83" s="0" t="n">
        <v>2.18791860498789</v>
      </c>
      <c r="B83" s="0" t="n">
        <v>-0.014571652827494</v>
      </c>
      <c r="C83" s="0" t="n">
        <f aca="false">TRUE()</f>
        <v>1</v>
      </c>
      <c r="D83" s="0" t="n">
        <v>-111.388484066129</v>
      </c>
      <c r="E83" s="0" t="n">
        <v>3.7679733736558</v>
      </c>
      <c r="F83" s="0" t="n">
        <v>178</v>
      </c>
      <c r="G83" s="0" t="n">
        <v>0.365252018977369</v>
      </c>
      <c r="H83" s="0" t="n">
        <v>-1.61989482359615</v>
      </c>
      <c r="I83" s="0" t="n">
        <v>-0.671969770888642</v>
      </c>
      <c r="J83" s="0" t="n">
        <v>1.71177502513704</v>
      </c>
      <c r="K83" s="0" t="n">
        <v>0.224355524184918</v>
      </c>
      <c r="L83" s="0" t="n">
        <f aca="false">SQRT((J83-H83)^2+(K83-I83)^2)</f>
        <v>3.45013376777576</v>
      </c>
      <c r="M83" s="0" t="n">
        <f aca="false">C83*(L83/MAX(E83,L83))</f>
        <v>0.915647066908102</v>
      </c>
      <c r="N83" s="0" t="n">
        <v>0.99016365892427</v>
      </c>
      <c r="O83" s="0" t="s">
        <v>26</v>
      </c>
      <c r="P83" s="0" t="n">
        <v>2</v>
      </c>
      <c r="Q83" s="0" t="n">
        <v>0</v>
      </c>
      <c r="R83" s="0" t="n">
        <v>39.7815091609955</v>
      </c>
    </row>
    <row r="84" customFormat="false" ht="13.8" hidden="false" customHeight="false" outlineLevel="0" collapsed="false">
      <c r="A84" s="0" t="n">
        <v>2.18791860498789</v>
      </c>
      <c r="B84" s="0" t="n">
        <v>-0.014571652827494</v>
      </c>
      <c r="C84" s="0" t="n">
        <f aca="false">TRUE()</f>
        <v>1</v>
      </c>
      <c r="D84" s="0" t="n">
        <v>-118.029224008918</v>
      </c>
      <c r="E84" s="0" t="n">
        <v>1.19648029337765</v>
      </c>
      <c r="F84" s="0" t="n">
        <v>166</v>
      </c>
      <c r="G84" s="0" t="n">
        <v>0.678697557596435</v>
      </c>
      <c r="H84" s="0" t="n">
        <v>1.41011505195822</v>
      </c>
      <c r="I84" s="0" t="n">
        <v>-1.65237271826805</v>
      </c>
      <c r="J84" s="0" t="n">
        <v>1.58476393702017</v>
      </c>
      <c r="K84" s="0" t="n">
        <v>-0.536851363683073</v>
      </c>
      <c r="L84" s="0" t="n">
        <f aca="false">SQRT((J84-H84)^2+(K84-I84)^2)</f>
        <v>1.1291103248082</v>
      </c>
      <c r="M84" s="0" t="n">
        <f aca="false">C84*(L84/MAX(E84,L84))</f>
        <v>0.943693206697736</v>
      </c>
      <c r="N84" s="2" t="n">
        <f aca="false">AVERAGE(N2:N83)</f>
        <v>0.744371193675118</v>
      </c>
      <c r="O84" s="0" t="s">
        <v>26</v>
      </c>
      <c r="P84" s="0" t="n">
        <v>2</v>
      </c>
      <c r="Q84" s="0" t="n">
        <v>0</v>
      </c>
      <c r="R84" s="0" t="n">
        <v>37.0368897914886</v>
      </c>
    </row>
    <row r="85" customFormat="false" ht="13.8" hidden="false" customHeight="false" outlineLevel="0" collapsed="false">
      <c r="A85" s="0" t="n">
        <v>2.18791860498789</v>
      </c>
      <c r="B85" s="0" t="n">
        <v>-0.014571652827494</v>
      </c>
      <c r="C85" s="0" t="n">
        <f aca="false">TRUE()</f>
        <v>1</v>
      </c>
      <c r="D85" s="0" t="n">
        <v>85.4850308263302</v>
      </c>
      <c r="E85" s="0" t="n">
        <v>3.3063612249301</v>
      </c>
      <c r="F85" s="0" t="n">
        <v>117</v>
      </c>
      <c r="G85" s="0" t="n">
        <v>0.441007233392112</v>
      </c>
      <c r="H85" s="0" t="n">
        <v>-0.114260645335221</v>
      </c>
      <c r="I85" s="0" t="n">
        <v>-0.195074994921519</v>
      </c>
      <c r="J85" s="0" t="n">
        <v>2.35947393963661</v>
      </c>
      <c r="K85" s="0" t="n">
        <v>-0.255471850947029</v>
      </c>
      <c r="L85" s="0" t="n">
        <f aca="false">SQRT((J85-H85)^2+(K85-I85)^2)</f>
        <v>2.47447177739079</v>
      </c>
      <c r="M85" s="0" t="n">
        <f aca="false">C85*(L85/MAX(E85,L85))</f>
        <v>0.748397289059999</v>
      </c>
      <c r="O85" s="0" t="s">
        <v>26</v>
      </c>
      <c r="P85" s="0" t="n">
        <v>2</v>
      </c>
      <c r="Q85" s="0" t="n">
        <v>0</v>
      </c>
      <c r="R85" s="0" t="n">
        <v>25.9337317943573</v>
      </c>
    </row>
    <row r="86" customFormat="false" ht="13.8" hidden="false" customHeight="false" outlineLevel="0" collapsed="false">
      <c r="A86" s="0" t="n">
        <v>2.18791860498789</v>
      </c>
      <c r="B86" s="0" t="n">
        <v>-0.014571652827494</v>
      </c>
      <c r="C86" s="0" t="n">
        <f aca="false">TRUE()</f>
        <v>1</v>
      </c>
      <c r="D86" s="0" t="n">
        <v>-100.864432979226</v>
      </c>
      <c r="E86" s="0" t="n">
        <v>2.15623407264683</v>
      </c>
      <c r="F86" s="0" t="n">
        <v>169</v>
      </c>
      <c r="G86" s="0" t="n">
        <v>0.579304821959694</v>
      </c>
      <c r="H86" s="0" t="n">
        <v>-0.597707803598556</v>
      </c>
      <c r="I86" s="0" t="n">
        <v>0.297914960586559</v>
      </c>
      <c r="J86" s="0" t="n">
        <v>1.49653871456505</v>
      </c>
      <c r="K86" s="0" t="n">
        <v>0.286567288457607</v>
      </c>
      <c r="L86" s="0" t="n">
        <f aca="false">SQRT((J86-H86)^2+(K86-I86)^2)</f>
        <v>2.09427726161154</v>
      </c>
      <c r="M86" s="0" t="n">
        <f aca="false">C86*(L86/MAX(E86,L86))</f>
        <v>0.971266194231299</v>
      </c>
      <c r="O86" s="0" t="s">
        <v>26</v>
      </c>
      <c r="P86" s="0" t="n">
        <v>2</v>
      </c>
      <c r="Q86" s="0" t="n">
        <v>0</v>
      </c>
      <c r="R86" s="0" t="n">
        <v>37.4206159114838</v>
      </c>
    </row>
    <row r="87" customFormat="false" ht="13.8" hidden="false" customHeight="false" outlineLevel="0" collapsed="false">
      <c r="A87" s="0" t="n">
        <v>2.18791860498789</v>
      </c>
      <c r="B87" s="0" t="n">
        <v>-0.014571652827494</v>
      </c>
      <c r="C87" s="0" t="n">
        <f aca="false">TRUE()</f>
        <v>1</v>
      </c>
      <c r="D87" s="0" t="n">
        <v>91.989041339159</v>
      </c>
      <c r="E87" s="0" t="n">
        <v>1.19276998444054</v>
      </c>
      <c r="F87" s="0" t="n">
        <v>29</v>
      </c>
      <c r="G87" s="0" t="n">
        <v>0.378223839154794</v>
      </c>
      <c r="H87" s="0" t="n">
        <v>1.32919930779788</v>
      </c>
      <c r="I87" s="0" t="n">
        <v>-0.97575702522462</v>
      </c>
      <c r="J87" s="0" t="n">
        <v>2.2422319887789</v>
      </c>
      <c r="K87" s="0" t="n">
        <v>-0.2904770836352</v>
      </c>
      <c r="L87" s="0" t="n">
        <f aca="false">SQRT((J87-H87)^2+(K87-I87)^2)</f>
        <v>1.1415941813465</v>
      </c>
      <c r="M87" s="0" t="n">
        <f aca="false">C87*(L87/MAX(E87,L87))</f>
        <v>0.957094994205401</v>
      </c>
      <c r="O87" s="0" t="s">
        <v>26</v>
      </c>
      <c r="P87" s="0" t="n">
        <v>2</v>
      </c>
      <c r="Q87" s="0" t="n">
        <v>0</v>
      </c>
      <c r="R87" s="0" t="n">
        <v>6.71091938018799</v>
      </c>
    </row>
    <row r="88" customFormat="false" ht="13.8" hidden="false" customHeight="false" outlineLevel="0" collapsed="false">
      <c r="A88" s="0" t="n">
        <v>2.18791860498789</v>
      </c>
      <c r="B88" s="0" t="n">
        <v>-0.014571652827494</v>
      </c>
      <c r="C88" s="0" t="n">
        <f aca="false">TRUE()</f>
        <v>1</v>
      </c>
      <c r="D88" s="0" t="n">
        <v>-116.578499240279</v>
      </c>
      <c r="E88" s="0" t="n">
        <v>1.70673483919458</v>
      </c>
      <c r="F88" s="0" t="n">
        <v>168</v>
      </c>
      <c r="G88" s="0" t="n">
        <v>0.601468382372689</v>
      </c>
      <c r="H88" s="0" t="n">
        <v>0.359730478711069</v>
      </c>
      <c r="I88" s="0" t="n">
        <v>-1.09976687612579</v>
      </c>
      <c r="J88" s="0" t="n">
        <v>1.40099942397508</v>
      </c>
      <c r="K88" s="0" t="n">
        <v>0.0544290815266487</v>
      </c>
      <c r="L88" s="0" t="n">
        <f aca="false">SQRT((J88-H88)^2+(K88-I88)^2)</f>
        <v>1.55448040355369</v>
      </c>
      <c r="M88" s="0" t="n">
        <f aca="false">C88*(L88/MAX(E88,L88))</f>
        <v>0.910791980016803</v>
      </c>
      <c r="O88" s="0" t="s">
        <v>26</v>
      </c>
      <c r="P88" s="0" t="n">
        <v>2</v>
      </c>
      <c r="Q88" s="0" t="n">
        <v>0</v>
      </c>
      <c r="R88" s="0" t="n">
        <v>37.4056820869446</v>
      </c>
    </row>
    <row r="89" customFormat="false" ht="13.8" hidden="false" customHeight="false" outlineLevel="0" collapsed="false">
      <c r="A89" s="0" t="n">
        <v>2.18791860498789</v>
      </c>
      <c r="B89" s="0" t="n">
        <v>-0.014571652827494</v>
      </c>
      <c r="C89" s="0" t="n">
        <f aca="false">TRUE()</f>
        <v>1</v>
      </c>
      <c r="D89" s="0" t="n">
        <v>-194.105486130118</v>
      </c>
      <c r="E89" s="0" t="n">
        <v>6.77077423417451</v>
      </c>
      <c r="F89" s="0" t="n">
        <v>310</v>
      </c>
      <c r="G89" s="0" t="n">
        <v>0.365875483816413</v>
      </c>
      <c r="H89" s="0" t="n">
        <v>1.45771554369609</v>
      </c>
      <c r="I89" s="0" t="n">
        <v>1.22519186002639</v>
      </c>
      <c r="J89" s="0" t="n">
        <v>1.7353661859778</v>
      </c>
      <c r="K89" s="0" t="n">
        <v>0.252653545658789</v>
      </c>
      <c r="L89" s="0" t="n">
        <f aca="false">SQRT((J89-H89)^2+(K89-I89)^2)</f>
        <v>1.01139539848292</v>
      </c>
      <c r="M89" s="0" t="n">
        <f aca="false">C89*(L89/MAX(E89,L89))</f>
        <v>0.149376624223866</v>
      </c>
      <c r="O89" s="0" t="s">
        <v>26</v>
      </c>
      <c r="P89" s="0" t="n">
        <v>2</v>
      </c>
      <c r="Q89" s="0" t="n">
        <v>0</v>
      </c>
      <c r="R89" s="0" t="n">
        <v>68.7436509132385</v>
      </c>
    </row>
    <row r="90" customFormat="false" ht="13.8" hidden="false" customHeight="false" outlineLevel="0" collapsed="false">
      <c r="A90" s="0" t="n">
        <v>2.18791860498789</v>
      </c>
      <c r="B90" s="0" t="n">
        <v>-0.014571652827494</v>
      </c>
      <c r="C90" s="0" t="n">
        <f aca="false">TRUE()</f>
        <v>1</v>
      </c>
      <c r="D90" s="0" t="n">
        <v>-94.6265799170733</v>
      </c>
      <c r="E90" s="0" t="n">
        <v>5.9907377336424</v>
      </c>
      <c r="F90" s="0" t="n">
        <v>149</v>
      </c>
      <c r="G90" s="0" t="n">
        <v>0.363485644279813</v>
      </c>
      <c r="H90" s="0" t="n">
        <v>-3.00299473557591</v>
      </c>
      <c r="I90" s="0" t="n">
        <v>1.29562944190491</v>
      </c>
      <c r="J90" s="0" t="n">
        <v>1.70704696348883</v>
      </c>
      <c r="K90" s="0" t="n">
        <v>0.215175119371168</v>
      </c>
      <c r="L90" s="0" t="n">
        <f aca="false">SQRT((J90-H90)^2+(K90-I90)^2)</f>
        <v>4.83237771185268</v>
      </c>
      <c r="M90" s="0" t="n">
        <f aca="false">C90*(L90/MAX(E90,L90))</f>
        <v>0.806641506723841</v>
      </c>
      <c r="O90" s="0" t="s">
        <v>26</v>
      </c>
      <c r="P90" s="0" t="n">
        <v>2</v>
      </c>
      <c r="Q90" s="0" t="n">
        <v>0</v>
      </c>
      <c r="R90" s="0" t="n">
        <v>32.975581407547</v>
      </c>
    </row>
    <row r="91" customFormat="false" ht="13.8" hidden="false" customHeight="false" outlineLevel="0" collapsed="false">
      <c r="A91" s="0" t="n">
        <v>2.18791860498789</v>
      </c>
      <c r="B91" s="0" t="n">
        <v>-0.014571652827494</v>
      </c>
      <c r="C91" s="0" t="n">
        <f aca="false">TRUE()</f>
        <v>1</v>
      </c>
      <c r="D91" s="0" t="n">
        <v>73.0031881761551</v>
      </c>
      <c r="E91" s="0" t="n">
        <v>4.06102798436458</v>
      </c>
      <c r="F91" s="0" t="n">
        <v>113</v>
      </c>
      <c r="G91" s="0" t="n">
        <v>0.381193230733211</v>
      </c>
      <c r="H91" s="0" t="n">
        <v>0.508981678615044</v>
      </c>
      <c r="I91" s="0" t="n">
        <v>0.045500363991208</v>
      </c>
      <c r="J91" s="0" t="n">
        <v>2.24271975547306</v>
      </c>
      <c r="K91" s="0" t="n">
        <v>-0.293930943352211</v>
      </c>
      <c r="L91" s="0" t="n">
        <f aca="false">SQRT((J91-H91)^2+(K91-I91)^2)</f>
        <v>1.76665257805608</v>
      </c>
      <c r="M91" s="0" t="n">
        <f aca="false">C91*(L91/MAX(E91,L91))</f>
        <v>0.435025955215747</v>
      </c>
      <c r="O91" s="0" t="s">
        <v>26</v>
      </c>
      <c r="P91" s="0" t="n">
        <v>2</v>
      </c>
      <c r="Q91" s="0" t="n">
        <v>0</v>
      </c>
      <c r="R91" s="0" t="n">
        <v>25.1362969875336</v>
      </c>
    </row>
    <row r="92" customFormat="false" ht="13.8" hidden="false" customHeight="false" outlineLevel="0" collapsed="false">
      <c r="A92" s="0" t="n">
        <v>-5</v>
      </c>
      <c r="B92" s="0" t="n">
        <v>0.838404703970432</v>
      </c>
      <c r="C92" s="0" t="n">
        <f aca="false">TRUE()</f>
        <v>1</v>
      </c>
      <c r="D92" s="0" t="n">
        <v>52.6747057008743</v>
      </c>
      <c r="E92" s="0" t="n">
        <v>3.81034188859929</v>
      </c>
      <c r="F92" s="0" t="n">
        <v>135</v>
      </c>
      <c r="G92" s="0" t="n">
        <v>0.716698201240803</v>
      </c>
      <c r="H92" s="0" t="n">
        <v>-4.04679493414461</v>
      </c>
      <c r="I92" s="0" t="n">
        <v>-1.88335435319675</v>
      </c>
      <c r="J92" s="0" t="n">
        <v>-4.7846231191466</v>
      </c>
      <c r="K92" s="0" t="n">
        <v>0.630675455594847</v>
      </c>
      <c r="L92" s="0" t="n">
        <f aca="false">SQRT((J92-H92)^2+(K92-I92)^2)</f>
        <v>2.62006418052613</v>
      </c>
      <c r="M92" s="0" t="n">
        <f aca="false">C92*(L92/MAX(E92,L92))</f>
        <v>0.687619184085679</v>
      </c>
      <c r="O92" s="0" t="s">
        <v>27</v>
      </c>
      <c r="P92" s="0" t="n">
        <v>-5.18983</v>
      </c>
      <c r="Q92" s="0" t="n">
        <v>1.22183</v>
      </c>
      <c r="R92" s="0" t="n">
        <v>30.3018074035645</v>
      </c>
    </row>
    <row r="93" customFormat="false" ht="13.8" hidden="false" customHeight="false" outlineLevel="0" collapsed="false">
      <c r="A93" s="0" t="n">
        <v>-5</v>
      </c>
      <c r="B93" s="0" t="n">
        <v>0.838404703970432</v>
      </c>
      <c r="C93" s="0" t="n">
        <f aca="false">TRUE()</f>
        <v>1</v>
      </c>
      <c r="D93" s="0" t="n">
        <v>122.112638030648</v>
      </c>
      <c r="E93" s="0" t="n">
        <v>10.1791668995448</v>
      </c>
      <c r="F93" s="0" t="n">
        <v>198</v>
      </c>
      <c r="G93" s="0" t="n">
        <v>0.353479067286632</v>
      </c>
      <c r="H93" s="0" t="n">
        <v>-0.710683928180773</v>
      </c>
      <c r="I93" s="0" t="n">
        <v>0.666943771747859</v>
      </c>
      <c r="J93" s="0" t="n">
        <v>-4.86409994273953</v>
      </c>
      <c r="K93" s="0" t="n">
        <v>1.08454423669252</v>
      </c>
      <c r="L93" s="0" t="n">
        <f aca="false">SQRT((J93-H93)^2+(K93-I93)^2)</f>
        <v>4.17435680534321</v>
      </c>
      <c r="M93" s="0" t="n">
        <f aca="false">C93*(L93/MAX(E93,L93))</f>
        <v>0.410088256390595</v>
      </c>
      <c r="O93" s="0" t="s">
        <v>27</v>
      </c>
      <c r="P93" s="0" t="n">
        <v>-5.18983</v>
      </c>
      <c r="Q93" s="0" t="n">
        <v>1.22183</v>
      </c>
      <c r="R93" s="0" t="n">
        <v>43.3294367790222</v>
      </c>
    </row>
    <row r="94" customFormat="false" ht="13.8" hidden="false" customHeight="false" outlineLevel="0" collapsed="false">
      <c r="A94" s="0" t="n">
        <v>-5</v>
      </c>
      <c r="B94" s="0" t="n">
        <v>0.838404703970432</v>
      </c>
      <c r="C94" s="0" t="n">
        <f aca="false">TRUE()</f>
        <v>1</v>
      </c>
      <c r="D94" s="0" t="n">
        <v>147.840731403232</v>
      </c>
      <c r="E94" s="0" t="n">
        <v>12.5331394024453</v>
      </c>
      <c r="F94" s="0" t="n">
        <v>232</v>
      </c>
      <c r="G94" s="0" t="n">
        <v>0.350924757445387</v>
      </c>
      <c r="H94" s="0" t="n">
        <v>0.472223678562827</v>
      </c>
      <c r="I94" s="0" t="n">
        <v>-2.83321774734102</v>
      </c>
      <c r="J94" s="0" t="n">
        <v>-4.86140471309891</v>
      </c>
      <c r="K94" s="0" t="n">
        <v>1.09819741403644</v>
      </c>
      <c r="L94" s="0" t="n">
        <f aca="false">SQRT((J94-H94)^2+(K94-I94)^2)</f>
        <v>6.62598045510615</v>
      </c>
      <c r="M94" s="0" t="n">
        <f aca="false">C94*(L94/MAX(E94,L94))</f>
        <v>0.528676833660158</v>
      </c>
      <c r="O94" s="0" t="s">
        <v>27</v>
      </c>
      <c r="P94" s="0" t="n">
        <v>-5.18983</v>
      </c>
      <c r="Q94" s="0" t="n">
        <v>1.22183</v>
      </c>
      <c r="R94" s="0" t="n">
        <v>51.0977754592896</v>
      </c>
    </row>
    <row r="95" customFormat="false" ht="13.8" hidden="false" customHeight="false" outlineLevel="0" collapsed="false">
      <c r="A95" s="0" t="n">
        <v>-5</v>
      </c>
      <c r="B95" s="0" t="n">
        <v>0.838404703970432</v>
      </c>
      <c r="C95" s="0" t="n">
        <f aca="false">TRUE()</f>
        <v>1</v>
      </c>
      <c r="D95" s="0" t="n">
        <v>142.996719143391</v>
      </c>
      <c r="E95" s="0" t="n">
        <v>9.34824565503323</v>
      </c>
      <c r="F95" s="0" t="n">
        <v>159</v>
      </c>
      <c r="G95" s="0" t="n">
        <v>0.364843043906641</v>
      </c>
      <c r="H95" s="0" t="n">
        <v>2.14607395174343</v>
      </c>
      <c r="I95" s="0" t="n">
        <v>0.659596101128194</v>
      </c>
      <c r="J95" s="0" t="n">
        <v>-4.85981126812841</v>
      </c>
      <c r="K95" s="0" t="n">
        <v>1.06627266876507</v>
      </c>
      <c r="L95" s="0" t="n">
        <f aca="false">SQRT((J95-H95)^2+(K95-I95)^2)</f>
        <v>7.01767864358889</v>
      </c>
      <c r="M95" s="0" t="n">
        <f aca="false">C95*(L95/MAX(E95,L95))</f>
        <v>0.750694718833204</v>
      </c>
      <c r="O95" s="0" t="s">
        <v>27</v>
      </c>
      <c r="P95" s="0" t="n">
        <v>-5.18983</v>
      </c>
      <c r="Q95" s="0" t="n">
        <v>1.22183</v>
      </c>
      <c r="R95" s="0" t="n">
        <v>34.97900557518</v>
      </c>
    </row>
    <row r="96" customFormat="false" ht="13.8" hidden="false" customHeight="false" outlineLevel="0" collapsed="false">
      <c r="A96" s="0" t="n">
        <v>-5</v>
      </c>
      <c r="B96" s="0" t="n">
        <v>0.838404703970432</v>
      </c>
      <c r="C96" s="0" t="n">
        <f aca="false">FALSE()</f>
        <v>0</v>
      </c>
      <c r="D96" s="0" t="n">
        <v>-90.8028250741959</v>
      </c>
      <c r="E96" s="0" t="n">
        <v>2.30845701731389</v>
      </c>
      <c r="F96" s="0" t="n">
        <v>158</v>
      </c>
      <c r="G96" s="0" t="n">
        <v>2.67570818683875</v>
      </c>
      <c r="H96" s="0" t="n">
        <v>-1.30379852672537</v>
      </c>
      <c r="I96" s="0" t="n">
        <v>-1.86120733819801</v>
      </c>
      <c r="J96" s="0" t="n">
        <v>-3.21574654639912</v>
      </c>
      <c r="K96" s="0" t="n">
        <v>-0.584383946168926</v>
      </c>
      <c r="L96" s="0" t="n">
        <f aca="false">SQRT((J96-H96)^2+(K96-I96)^2)</f>
        <v>2.29909182164763</v>
      </c>
      <c r="M96" s="0" t="n">
        <f aca="false">C96*(L96/MAX(E96,L96))</f>
        <v>0</v>
      </c>
      <c r="O96" s="0" t="s">
        <v>27</v>
      </c>
      <c r="P96" s="0" t="n">
        <v>-5.18983</v>
      </c>
      <c r="Q96" s="0" t="n">
        <v>1.22183</v>
      </c>
      <c r="R96" s="0" t="n">
        <v>34.9091553688049</v>
      </c>
    </row>
    <row r="97" customFormat="false" ht="13.8" hidden="false" customHeight="false" outlineLevel="0" collapsed="false">
      <c r="A97" s="0" t="n">
        <v>-5</v>
      </c>
      <c r="B97" s="0" t="n">
        <v>0.838404703970432</v>
      </c>
      <c r="C97" s="0" t="n">
        <f aca="false">TRUE()</f>
        <v>1</v>
      </c>
      <c r="D97" s="0" t="n">
        <v>68.2499127596617</v>
      </c>
      <c r="E97" s="0" t="n">
        <v>0.985254891902019</v>
      </c>
      <c r="F97" s="0" t="n">
        <v>78</v>
      </c>
      <c r="G97" s="0" t="n">
        <v>0.430949230724463</v>
      </c>
      <c r="H97" s="0" t="n">
        <v>-4.04355052896516</v>
      </c>
      <c r="I97" s="0" t="n">
        <v>1.26523463469877</v>
      </c>
      <c r="J97" s="0" t="n">
        <v>-4.79677734012307</v>
      </c>
      <c r="K97" s="0" t="n">
        <v>1.04511880616758</v>
      </c>
      <c r="L97" s="0" t="n">
        <f aca="false">SQRT((J97-H97)^2+(K97-I97)^2)</f>
        <v>0.784730276602793</v>
      </c>
      <c r="M97" s="0" t="n">
        <f aca="false">C97*(L97/MAX(E97,L97))</f>
        <v>0.79647437739475</v>
      </c>
      <c r="O97" s="0" t="s">
        <v>27</v>
      </c>
      <c r="P97" s="0" t="n">
        <v>-5.18983</v>
      </c>
      <c r="Q97" s="0" t="n">
        <v>1.22183</v>
      </c>
      <c r="R97" s="0" t="n">
        <v>17.3395440578461</v>
      </c>
    </row>
    <row r="98" customFormat="false" ht="13.8" hidden="false" customHeight="false" outlineLevel="0" collapsed="false">
      <c r="A98" s="0" t="n">
        <v>-5</v>
      </c>
      <c r="B98" s="0" t="n">
        <v>0.838404703970432</v>
      </c>
      <c r="C98" s="0" t="n">
        <f aca="false">TRUE()</f>
        <v>1</v>
      </c>
      <c r="D98" s="0" t="n">
        <v>156.154877421856</v>
      </c>
      <c r="E98" s="0" t="n">
        <v>13.4254964009608</v>
      </c>
      <c r="F98" s="0" t="n">
        <v>245</v>
      </c>
      <c r="G98" s="0" t="n">
        <v>0.358029418468618</v>
      </c>
      <c r="H98" s="0" t="n">
        <v>0.455621397893168</v>
      </c>
      <c r="I98" s="0" t="n">
        <v>-2.35504460448318</v>
      </c>
      <c r="J98" s="0" t="n">
        <v>-4.86177059754631</v>
      </c>
      <c r="K98" s="0" t="n">
        <v>1.07843511532588</v>
      </c>
      <c r="L98" s="0" t="n">
        <f aca="false">SQRT((J98-H98)^2+(K98-I98)^2)</f>
        <v>6.32956875462333</v>
      </c>
      <c r="M98" s="0" t="n">
        <f aca="false">C98*(L98/MAX(E98,L98))</f>
        <v>0.471458824730709</v>
      </c>
      <c r="O98" s="0" t="s">
        <v>27</v>
      </c>
      <c r="P98" s="0" t="n">
        <v>-5.18983</v>
      </c>
      <c r="Q98" s="0" t="n">
        <v>1.22183</v>
      </c>
      <c r="R98" s="0" t="n">
        <v>54.1161987781525</v>
      </c>
    </row>
    <row r="99" customFormat="false" ht="13.8" hidden="false" customHeight="false" outlineLevel="0" collapsed="false">
      <c r="A99" s="0" t="n">
        <v>-5</v>
      </c>
      <c r="B99" s="0" t="n">
        <v>0.838404703970432</v>
      </c>
      <c r="C99" s="0" t="n">
        <f aca="false">TRUE()</f>
        <v>1</v>
      </c>
      <c r="D99" s="0" t="n">
        <v>171.705431347489</v>
      </c>
      <c r="E99" s="0" t="n">
        <v>13.8974754448795</v>
      </c>
      <c r="F99" s="0" t="n">
        <v>235</v>
      </c>
      <c r="G99" s="0" t="n">
        <v>0.384848093784723</v>
      </c>
      <c r="H99" s="0" t="n">
        <v>0.664749413005028</v>
      </c>
      <c r="I99" s="0" t="n">
        <v>-2.87527945552906</v>
      </c>
      <c r="J99" s="0" t="n">
        <v>-4.83865620985863</v>
      </c>
      <c r="K99" s="0" t="n">
        <v>1.06439739725369</v>
      </c>
      <c r="L99" s="0" t="n">
        <f aca="false">SQRT((J99-H99)^2+(K99-I99)^2)</f>
        <v>6.76819969815604</v>
      </c>
      <c r="M99" s="0" t="n">
        <f aca="false">C99*(L99/MAX(E99,L99))</f>
        <v>0.487009293522427</v>
      </c>
      <c r="O99" s="0" t="s">
        <v>27</v>
      </c>
      <c r="P99" s="0" t="n">
        <v>-5.18983</v>
      </c>
      <c r="Q99" s="0" t="n">
        <v>1.22183</v>
      </c>
      <c r="R99" s="0" t="n">
        <v>51.4874441623688</v>
      </c>
    </row>
    <row r="100" customFormat="false" ht="13.8" hidden="false" customHeight="false" outlineLevel="0" collapsed="false">
      <c r="A100" s="0" t="n">
        <v>-5</v>
      </c>
      <c r="B100" s="0" t="n">
        <v>0.838404703970432</v>
      </c>
      <c r="C100" s="0" t="n">
        <f aca="false">TRUE()</f>
        <v>1</v>
      </c>
      <c r="D100" s="0" t="n">
        <v>114.156811546087</v>
      </c>
      <c r="E100" s="0" t="n">
        <v>5.2136388045423</v>
      </c>
      <c r="F100" s="0" t="n">
        <v>93</v>
      </c>
      <c r="G100" s="0" t="n">
        <v>0.669879324048078</v>
      </c>
      <c r="H100" s="0" t="n">
        <v>0.0811492711362384</v>
      </c>
      <c r="I100" s="0" t="n">
        <v>0.606529850173994</v>
      </c>
      <c r="J100" s="0" t="n">
        <v>-4.74743265325645</v>
      </c>
      <c r="K100" s="0" t="n">
        <v>0.718816186689298</v>
      </c>
      <c r="L100" s="0" t="n">
        <f aca="false">SQRT((J100-H100)^2+(K100-I100)^2)</f>
        <v>4.82988733014962</v>
      </c>
      <c r="M100" s="0" t="n">
        <f aca="false">C100*(L100/MAX(E100,L100))</f>
        <v>0.926394694995299</v>
      </c>
      <c r="O100" s="0" t="s">
        <v>27</v>
      </c>
      <c r="P100" s="0" t="n">
        <v>-5.18983</v>
      </c>
      <c r="Q100" s="0" t="n">
        <v>1.22183</v>
      </c>
      <c r="R100" s="0" t="n">
        <v>20.5919930934906</v>
      </c>
    </row>
    <row r="101" customFormat="false" ht="13.8" hidden="false" customHeight="false" outlineLevel="0" collapsed="false">
      <c r="A101" s="0" t="n">
        <v>-5</v>
      </c>
      <c r="B101" s="0" t="n">
        <v>0.838404703970432</v>
      </c>
      <c r="C101" s="0" t="n">
        <f aca="false">TRUE()</f>
        <v>1</v>
      </c>
      <c r="D101" s="0" t="n">
        <v>130.92816649437</v>
      </c>
      <c r="E101" s="0" t="n">
        <v>9.59516464765624</v>
      </c>
      <c r="F101" s="0" t="n">
        <v>186</v>
      </c>
      <c r="G101" s="0" t="n">
        <v>0.358233028406701</v>
      </c>
      <c r="H101" s="0" t="n">
        <v>0.562334073529352</v>
      </c>
      <c r="I101" s="0" t="n">
        <v>0.879692030674786</v>
      </c>
      <c r="J101" s="0" t="n">
        <v>-4.86232283832205</v>
      </c>
      <c r="K101" s="0" t="n">
        <v>1.07667504248533</v>
      </c>
      <c r="L101" s="0" t="n">
        <f aca="false">SQRT((J101-H101)^2+(K101-I101)^2)</f>
        <v>5.42823220931447</v>
      </c>
      <c r="M101" s="0" t="n">
        <f aca="false">C101*(L101/MAX(E101,L101))</f>
        <v>0.565725801343117</v>
      </c>
      <c r="O101" s="0" t="s">
        <v>27</v>
      </c>
      <c r="P101" s="0" t="n">
        <v>-5.18983</v>
      </c>
      <c r="Q101" s="0" t="n">
        <v>1.22183</v>
      </c>
      <c r="R101" s="0" t="n">
        <v>40.7557971477509</v>
      </c>
    </row>
    <row r="102" customFormat="false" ht="13.8" hidden="false" customHeight="false" outlineLevel="0" collapsed="false">
      <c r="A102" s="0" t="n">
        <v>-1.88824953381688</v>
      </c>
      <c r="B102" s="0" t="n">
        <v>-4.83636668463972</v>
      </c>
      <c r="C102" s="0" t="n">
        <f aca="false">TRUE()</f>
        <v>1</v>
      </c>
      <c r="D102" s="0" t="n">
        <v>-48.1266416913271</v>
      </c>
      <c r="E102" s="0" t="n">
        <v>9.07411397628925</v>
      </c>
      <c r="F102" s="0" t="n">
        <v>400</v>
      </c>
      <c r="G102" s="0" t="n">
        <v>0.569095495240077</v>
      </c>
      <c r="H102" s="0" t="n">
        <v>2.10544387850871</v>
      </c>
      <c r="I102" s="0" t="n">
        <v>0.954953585454418</v>
      </c>
      <c r="J102" s="0" t="n">
        <v>-1.60815245412168</v>
      </c>
      <c r="K102" s="0" t="n">
        <v>-4.41091095786777</v>
      </c>
      <c r="L102" s="0" t="n">
        <f aca="false">SQRT((J102-H102)^2+(K102-I102)^2)</f>
        <v>6.52558809755934</v>
      </c>
      <c r="M102" s="0" t="n">
        <f aca="false">C102*(L102/MAX(E102,L102))</f>
        <v>0.719143281053199</v>
      </c>
      <c r="O102" s="0" t="s">
        <v>28</v>
      </c>
      <c r="P102" s="0" t="n">
        <v>-1.87046</v>
      </c>
      <c r="Q102" s="0" t="n">
        <v>-4.91595</v>
      </c>
      <c r="R102" s="0" t="n">
        <v>88.4731338024139</v>
      </c>
    </row>
    <row r="103" customFormat="false" ht="13.8" hidden="false" customHeight="false" outlineLevel="0" collapsed="false">
      <c r="A103" s="0" t="n">
        <v>-1.88824953381688</v>
      </c>
      <c r="B103" s="0" t="n">
        <v>-4.83636668463972</v>
      </c>
      <c r="C103" s="0" t="n">
        <f aca="false">FALSE()</f>
        <v>0</v>
      </c>
      <c r="D103" s="0" t="n">
        <v>-86.2578593820333</v>
      </c>
      <c r="E103" s="0" t="n">
        <v>3.95813871079108</v>
      </c>
      <c r="F103" s="0" t="n">
        <v>86</v>
      </c>
      <c r="G103" s="0" t="n">
        <v>1.5315169513465</v>
      </c>
      <c r="H103" s="0" t="n">
        <v>0.34606325299282</v>
      </c>
      <c r="I103" s="0" t="n">
        <v>0.0766847806727748</v>
      </c>
      <c r="J103" s="0" t="n">
        <v>-1.28711446306356</v>
      </c>
      <c r="K103" s="0" t="n">
        <v>-3.49988073728789</v>
      </c>
      <c r="L103" s="0" t="n">
        <f aca="false">SQRT((J103-H103)^2+(K103-I103)^2)</f>
        <v>3.93180497437098</v>
      </c>
      <c r="M103" s="0" t="n">
        <f aca="false">C103*(L103/MAX(E103,L103))</f>
        <v>0</v>
      </c>
      <c r="O103" s="0" t="s">
        <v>28</v>
      </c>
      <c r="P103" s="0" t="n">
        <v>-1.87046</v>
      </c>
      <c r="Q103" s="0" t="n">
        <v>-4.91595</v>
      </c>
      <c r="R103" s="0" t="n">
        <v>19.0440883636475</v>
      </c>
    </row>
    <row r="104" customFormat="false" ht="13.8" hidden="false" customHeight="false" outlineLevel="0" collapsed="false">
      <c r="A104" s="0" t="n">
        <v>-1.88824953381688</v>
      </c>
      <c r="B104" s="0" t="n">
        <v>-4.83636668463972</v>
      </c>
      <c r="C104" s="0" t="n">
        <f aca="false">TRUE()</f>
        <v>1</v>
      </c>
      <c r="D104" s="0" t="n">
        <v>-163.604246313572</v>
      </c>
      <c r="E104" s="0" t="n">
        <v>8.31226226349739</v>
      </c>
      <c r="F104" s="0" t="n">
        <v>292</v>
      </c>
      <c r="G104" s="0" t="n">
        <v>0.41743094055179</v>
      </c>
      <c r="H104" s="0" t="n">
        <v>0.244302476433458</v>
      </c>
      <c r="I104" s="0" t="n">
        <v>-1.96247161613598</v>
      </c>
      <c r="J104" s="0" t="n">
        <v>-1.80047998542499</v>
      </c>
      <c r="K104" s="0" t="n">
        <v>-4.50442674708465</v>
      </c>
      <c r="L104" s="0" t="n">
        <f aca="false">SQRT((J104-H104)^2+(K104-I104)^2)</f>
        <v>3.26231071544084</v>
      </c>
      <c r="M104" s="0" t="n">
        <f aca="false">C104*(L104/MAX(E104,L104))</f>
        <v>0.392469656517818</v>
      </c>
      <c r="O104" s="0" t="s">
        <v>28</v>
      </c>
      <c r="P104" s="0" t="n">
        <v>-1.87046</v>
      </c>
      <c r="Q104" s="0" t="n">
        <v>-4.91595</v>
      </c>
      <c r="R104" s="0" t="n">
        <v>64.7495443820953</v>
      </c>
    </row>
    <row r="105" customFormat="false" ht="13.8" hidden="false" customHeight="false" outlineLevel="0" collapsed="false">
      <c r="A105" s="0" t="n">
        <v>-1.88824953381688</v>
      </c>
      <c r="B105" s="0" t="n">
        <v>-4.83636668463972</v>
      </c>
      <c r="C105" s="0" t="n">
        <f aca="false">FALSE()</f>
        <v>0</v>
      </c>
      <c r="D105" s="0" t="n">
        <v>-100.429098734856</v>
      </c>
      <c r="E105" s="0" t="n">
        <v>3.41950912844856</v>
      </c>
      <c r="F105" s="0" t="n">
        <v>195</v>
      </c>
      <c r="G105" s="0" t="n">
        <v>2.95387303300685</v>
      </c>
      <c r="H105" s="0" t="n">
        <v>2.33422247600158</v>
      </c>
      <c r="I105" s="0" t="n">
        <v>-0.474783084686722</v>
      </c>
      <c r="J105" s="0" t="n">
        <v>0.416636728745336</v>
      </c>
      <c r="K105" s="0" t="n">
        <v>-3.04657725801207</v>
      </c>
      <c r="L105" s="0" t="n">
        <f aca="false">SQRT((J105-H105)^2+(K105-I105)^2)</f>
        <v>3.20799943391991</v>
      </c>
      <c r="M105" s="0" t="n">
        <f aca="false">C105*(L105/MAX(E105,L105))</f>
        <v>0</v>
      </c>
      <c r="O105" s="0" t="s">
        <v>28</v>
      </c>
      <c r="P105" s="0" t="n">
        <v>-1.87046</v>
      </c>
      <c r="Q105" s="0" t="n">
        <v>-4.91595</v>
      </c>
      <c r="R105" s="0" t="n">
        <v>43.0738277435303</v>
      </c>
    </row>
    <row r="106" customFormat="false" ht="13.8" hidden="false" customHeight="false" outlineLevel="0" collapsed="false">
      <c r="A106" s="0" t="n">
        <v>-1.88824953381688</v>
      </c>
      <c r="B106" s="0" t="n">
        <v>-4.83636668463972</v>
      </c>
      <c r="C106" s="0" t="n">
        <f aca="false">TRUE()</f>
        <v>1</v>
      </c>
      <c r="D106" s="0" t="n">
        <v>-104.925608234406</v>
      </c>
      <c r="E106" s="0" t="n">
        <v>9.78726092619912</v>
      </c>
      <c r="F106" s="0" t="n">
        <v>231</v>
      </c>
      <c r="G106" s="0" t="n">
        <v>0.371395328350558</v>
      </c>
      <c r="H106" s="0" t="n">
        <v>0.0599792088598941</v>
      </c>
      <c r="I106" s="0" t="n">
        <v>-0.661865837269064</v>
      </c>
      <c r="J106" s="0" t="n">
        <v>-1.73385746606941</v>
      </c>
      <c r="K106" s="0" t="n">
        <v>-4.57058897491993</v>
      </c>
      <c r="L106" s="0" t="n">
        <f aca="false">SQRT((J106-H106)^2+(K106-I106)^2)</f>
        <v>4.30069373277482</v>
      </c>
      <c r="M106" s="0" t="n">
        <f aca="false">C106*(L106/MAX(E106,L106))</f>
        <v>0.439417500483968</v>
      </c>
      <c r="O106" s="0" t="s">
        <v>28</v>
      </c>
      <c r="P106" s="0" t="n">
        <v>-1.87046</v>
      </c>
      <c r="Q106" s="0" t="n">
        <v>-4.91595</v>
      </c>
      <c r="R106" s="0" t="n">
        <v>51.0725173950195</v>
      </c>
    </row>
    <row r="107" customFormat="false" ht="13.8" hidden="false" customHeight="false" outlineLevel="0" collapsed="false">
      <c r="A107" s="0" t="n">
        <v>-1.88824953381688</v>
      </c>
      <c r="B107" s="0" t="n">
        <v>-4.83636668463972</v>
      </c>
      <c r="C107" s="0" t="n">
        <f aca="false">TRUE()</f>
        <v>1</v>
      </c>
      <c r="D107" s="0" t="n">
        <v>-164.223564353585</v>
      </c>
      <c r="E107" s="0" t="n">
        <v>3.26871531560102</v>
      </c>
      <c r="F107" s="0" t="n">
        <v>194</v>
      </c>
      <c r="G107" s="0" t="n">
        <v>0.619071295531544</v>
      </c>
      <c r="H107" s="0" t="n">
        <v>-0.141798459621319</v>
      </c>
      <c r="I107" s="0" t="n">
        <v>-1.78500074626011</v>
      </c>
      <c r="J107" s="0" t="n">
        <v>-1.55141964316139</v>
      </c>
      <c r="K107" s="0" t="n">
        <v>-4.38541958648972</v>
      </c>
      <c r="L107" s="0" t="n">
        <f aca="false">SQRT((J107-H107)^2+(K107-I107)^2)</f>
        <v>2.95790635850867</v>
      </c>
      <c r="M107" s="0" t="n">
        <f aca="false">C107*(L107/MAX(E107,L107))</f>
        <v>0.904914032859051</v>
      </c>
      <c r="O107" s="0" t="s">
        <v>28</v>
      </c>
      <c r="P107" s="0" t="n">
        <v>-1.87046</v>
      </c>
      <c r="Q107" s="0" t="n">
        <v>-4.91595</v>
      </c>
      <c r="R107" s="0" t="n">
        <v>42.9684569835663</v>
      </c>
    </row>
    <row r="108" customFormat="false" ht="13.8" hidden="false" customHeight="false" outlineLevel="0" collapsed="false">
      <c r="A108" s="0" t="n">
        <v>-1.88824953381688</v>
      </c>
      <c r="B108" s="0" t="n">
        <v>-4.83636668463972</v>
      </c>
      <c r="C108" s="0" t="n">
        <f aca="false">FALSE()</f>
        <v>0</v>
      </c>
      <c r="D108" s="0" t="n">
        <v>-95.7217153519392</v>
      </c>
      <c r="E108" s="0" t="n">
        <v>3.97837086248478</v>
      </c>
      <c r="F108" s="0" t="n">
        <v>192</v>
      </c>
      <c r="G108" s="0" t="n">
        <v>2.85155724769809</v>
      </c>
      <c r="H108" s="0" t="n">
        <v>-1.15724552759865</v>
      </c>
      <c r="I108" s="0" t="n">
        <v>-1.01360684117698</v>
      </c>
      <c r="J108" s="0" t="n">
        <v>0.24130362490038</v>
      </c>
      <c r="K108" s="0" t="n">
        <v>-2.99974721077148</v>
      </c>
      <c r="L108" s="0" t="n">
        <f aca="false">SQRT((J108-H108)^2+(K108-I108)^2)</f>
        <v>2.42913426958839</v>
      </c>
      <c r="M108" s="0" t="n">
        <f aca="false">C108*(L108/MAX(E108,L108))</f>
        <v>0</v>
      </c>
      <c r="O108" s="0" t="s">
        <v>28</v>
      </c>
      <c r="P108" s="0" t="n">
        <v>-1.87046</v>
      </c>
      <c r="Q108" s="0" t="n">
        <v>-4.91595</v>
      </c>
      <c r="R108" s="0" t="n">
        <v>42.3866438865662</v>
      </c>
    </row>
    <row r="109" customFormat="false" ht="13.8" hidden="false" customHeight="false" outlineLevel="0" collapsed="false">
      <c r="A109" s="0" t="n">
        <v>-1.88824953381688</v>
      </c>
      <c r="B109" s="0" t="n">
        <v>-4.83636668463972</v>
      </c>
      <c r="C109" s="0" t="n">
        <f aca="false">TRUE()</f>
        <v>1</v>
      </c>
      <c r="D109" s="0" t="n">
        <v>0.876484628915798</v>
      </c>
      <c r="E109" s="0" t="n">
        <v>11.6603592124514</v>
      </c>
      <c r="F109" s="0" t="n">
        <v>400</v>
      </c>
      <c r="G109" s="0" t="n">
        <v>0.593461355765152</v>
      </c>
      <c r="H109" s="0" t="n">
        <v>4.23117802896059</v>
      </c>
      <c r="I109" s="0" t="n">
        <v>-2.34865107440799</v>
      </c>
      <c r="J109" s="0" t="n">
        <v>-1.57413744086012</v>
      </c>
      <c r="K109" s="0" t="n">
        <v>-4.40176197823033</v>
      </c>
      <c r="L109" s="0" t="n">
        <f aca="false">SQRT((J109-H109)^2+(K109-I109)^2)</f>
        <v>6.15767424337581</v>
      </c>
      <c r="M109" s="0" t="n">
        <f aca="false">C109*(L109/MAX(E109,L109))</f>
        <v>0.528086153366563</v>
      </c>
      <c r="O109" s="0" t="s">
        <v>28</v>
      </c>
      <c r="P109" s="0" t="n">
        <v>-1.87046</v>
      </c>
      <c r="Q109" s="0" t="n">
        <v>-4.91595</v>
      </c>
      <c r="R109" s="0" t="n">
        <v>88.4444077014923</v>
      </c>
    </row>
    <row r="110" customFormat="false" ht="13.8" hidden="false" customHeight="false" outlineLevel="0" collapsed="false">
      <c r="A110" s="0" t="n">
        <v>-1.88824953381688</v>
      </c>
      <c r="B110" s="0" t="n">
        <v>-4.83636668463972</v>
      </c>
      <c r="C110" s="0" t="n">
        <f aca="false">FALSE()</f>
        <v>0</v>
      </c>
      <c r="D110" s="0" t="n">
        <v>-75.6407963293791</v>
      </c>
      <c r="E110" s="0" t="n">
        <v>10.0305714996866</v>
      </c>
      <c r="F110" s="0" t="n">
        <v>221</v>
      </c>
      <c r="G110" s="0" t="n">
        <v>1.93832948181974</v>
      </c>
      <c r="H110" s="0" t="n">
        <v>4.33928379955426</v>
      </c>
      <c r="I110" s="0" t="n">
        <v>-2.95265978233296</v>
      </c>
      <c r="J110" s="0" t="n">
        <v>-1.10529792497839</v>
      </c>
      <c r="K110" s="0" t="n">
        <v>-3.13503782388345</v>
      </c>
      <c r="L110" s="0" t="n">
        <f aca="false">SQRT((J110-H110)^2+(K110-I110)^2)</f>
        <v>5.44763544165308</v>
      </c>
      <c r="M110" s="0" t="n">
        <f aca="false">C110*(L110/MAX(E110,L110))</f>
        <v>0</v>
      </c>
      <c r="O110" s="0" t="s">
        <v>28</v>
      </c>
      <c r="P110" s="0" t="n">
        <v>-1.87046</v>
      </c>
      <c r="Q110" s="0" t="n">
        <v>-4.91595</v>
      </c>
      <c r="R110" s="0" t="n">
        <v>49.1338639259338</v>
      </c>
    </row>
    <row r="111" customFormat="false" ht="13.8" hidden="false" customHeight="false" outlineLevel="0" collapsed="false">
      <c r="A111" s="0" t="n">
        <v>-1.88824953381688</v>
      </c>
      <c r="B111" s="0" t="n">
        <v>-4.83636668463972</v>
      </c>
      <c r="C111" s="0" t="n">
        <f aca="false">TRUE()</f>
        <v>1</v>
      </c>
      <c r="D111" s="0" t="n">
        <v>-154.836282562613</v>
      </c>
      <c r="E111" s="0" t="n">
        <v>5.01331610491613</v>
      </c>
      <c r="F111" s="0" t="n">
        <v>256</v>
      </c>
      <c r="G111" s="0" t="n">
        <v>0.610456588115553</v>
      </c>
      <c r="H111" s="0" t="n">
        <v>-0.184462953487714</v>
      </c>
      <c r="I111" s="0" t="n">
        <v>0.344822932533152</v>
      </c>
      <c r="J111" s="0" t="n">
        <v>-1.6081686588942</v>
      </c>
      <c r="K111" s="0" t="n">
        <v>-4.36471457084599</v>
      </c>
      <c r="L111" s="0" t="n">
        <f aca="false">SQRT((J111-H111)^2+(K111-I111)^2)</f>
        <v>4.92002860066297</v>
      </c>
      <c r="M111" s="0" t="n">
        <f aca="false">C111*(L111/MAX(E111,L111))</f>
        <v>0.98139205621571</v>
      </c>
      <c r="O111" s="0" t="s">
        <v>28</v>
      </c>
      <c r="P111" s="0" t="n">
        <v>-1.87046</v>
      </c>
      <c r="Q111" s="0" t="n">
        <v>-4.91595</v>
      </c>
      <c r="R111" s="0" t="n">
        <v>57.0987765789032</v>
      </c>
    </row>
    <row r="112" customFormat="false" ht="13.8" hidden="false" customHeight="false" outlineLevel="0" collapsed="false">
      <c r="A112" s="0" t="n">
        <v>4.91575929087299</v>
      </c>
      <c r="B112" s="0" t="n">
        <v>1.2506096683639</v>
      </c>
      <c r="C112" s="0" t="n">
        <f aca="false">FALSE()</f>
        <v>0</v>
      </c>
      <c r="D112" s="0" t="n">
        <v>-101.778930190206</v>
      </c>
      <c r="E112" s="0" t="n">
        <v>7.04661340274336</v>
      </c>
      <c r="F112" s="0" t="n">
        <v>281</v>
      </c>
      <c r="G112" s="0" t="n">
        <v>1.90604818133263</v>
      </c>
      <c r="H112" s="0" t="n">
        <v>1.29843733805069</v>
      </c>
      <c r="I112" s="0" t="n">
        <v>1.13015881978602</v>
      </c>
      <c r="J112" s="0" t="n">
        <v>3.10188114063971</v>
      </c>
      <c r="K112" s="0" t="n">
        <v>0.125171862253433</v>
      </c>
      <c r="L112" s="0" t="n">
        <f aca="false">SQRT((J112-H112)^2+(K112-I112)^2)</f>
        <v>2.06456008241643</v>
      </c>
      <c r="M112" s="0" t="n">
        <f aca="false">C112*(L112/MAX(E112,L112))</f>
        <v>0</v>
      </c>
      <c r="O112" s="0" t="s">
        <v>29</v>
      </c>
      <c r="P112" s="0" t="n">
        <v>4.62199</v>
      </c>
      <c r="Q112" s="0" t="n">
        <v>1.27508</v>
      </c>
      <c r="R112" s="0" t="n">
        <v>61.6832716464996</v>
      </c>
    </row>
    <row r="113" customFormat="false" ht="13.8" hidden="false" customHeight="false" outlineLevel="0" collapsed="false">
      <c r="A113" s="0" t="n">
        <v>4.91575929087299</v>
      </c>
      <c r="B113" s="0" t="n">
        <v>1.2506096683639</v>
      </c>
      <c r="C113" s="0" t="n">
        <f aca="false">FALSE()</f>
        <v>0</v>
      </c>
      <c r="D113" s="0" t="n">
        <v>-96.9629459691048</v>
      </c>
      <c r="E113" s="0" t="n">
        <v>4.55798045923455</v>
      </c>
      <c r="F113" s="0" t="n">
        <v>215</v>
      </c>
      <c r="G113" s="0" t="n">
        <v>3.66305229184588</v>
      </c>
      <c r="H113" s="0" t="n">
        <v>-0.399687409471235</v>
      </c>
      <c r="I113" s="0" t="n">
        <v>-0.0451175676890178</v>
      </c>
      <c r="J113" s="0" t="n">
        <v>1.76274252413263</v>
      </c>
      <c r="K113" s="0" t="n">
        <v>-1.01460468670764</v>
      </c>
      <c r="L113" s="0" t="n">
        <f aca="false">SQRT((J113-H113)^2+(K113-I113)^2)</f>
        <v>2.36981191061423</v>
      </c>
      <c r="M113" s="0" t="n">
        <f aca="false">C113*(L113/MAX(E113,L113))</f>
        <v>0</v>
      </c>
      <c r="O113" s="0" t="s">
        <v>29</v>
      </c>
      <c r="P113" s="0" t="n">
        <v>4.62199</v>
      </c>
      <c r="Q113" s="0" t="n">
        <v>1.27508</v>
      </c>
      <c r="R113" s="0" t="n">
        <v>47.5073165893555</v>
      </c>
    </row>
    <row r="114" customFormat="false" ht="13.8" hidden="false" customHeight="false" outlineLevel="0" collapsed="false">
      <c r="A114" s="0" t="n">
        <v>4.91575929087299</v>
      </c>
      <c r="B114" s="0" t="n">
        <v>1.2506096683639</v>
      </c>
      <c r="C114" s="0" t="n">
        <f aca="false">TRUE()</f>
        <v>1</v>
      </c>
      <c r="D114" s="0" t="n">
        <v>-105.298782826662</v>
      </c>
      <c r="E114" s="0" t="n">
        <v>3.30083211112341</v>
      </c>
      <c r="F114" s="0" t="n">
        <v>224</v>
      </c>
      <c r="G114" s="0" t="n">
        <v>0.506107998772147</v>
      </c>
      <c r="H114" s="0" t="n">
        <v>0.953055052487072</v>
      </c>
      <c r="I114" s="0" t="n">
        <v>0.805273985876513</v>
      </c>
      <c r="J114" s="0" t="n">
        <v>4.11778851056615</v>
      </c>
      <c r="K114" s="0" t="n">
        <v>1.31896809034164</v>
      </c>
      <c r="L114" s="0" t="n">
        <f aca="false">SQRT((J114-H114)^2+(K114-I114)^2)</f>
        <v>3.20615337961979</v>
      </c>
      <c r="M114" s="0" t="n">
        <f aca="false">C114*(L114/MAX(E114,L114))</f>
        <v>0.97131670793417</v>
      </c>
      <c r="O114" s="0" t="s">
        <v>29</v>
      </c>
      <c r="P114" s="0" t="n">
        <v>4.62199</v>
      </c>
      <c r="Q114" s="0" t="n">
        <v>1.27508</v>
      </c>
      <c r="R114" s="0" t="n">
        <v>49.7551667690277</v>
      </c>
    </row>
    <row r="115" customFormat="false" ht="13.8" hidden="false" customHeight="false" outlineLevel="0" collapsed="false">
      <c r="A115" s="0" t="n">
        <v>4.91575929087299</v>
      </c>
      <c r="B115" s="0" t="n">
        <v>1.2506096683639</v>
      </c>
      <c r="C115" s="0" t="n">
        <f aca="false">FALSE()</f>
        <v>0</v>
      </c>
      <c r="D115" s="0" t="n">
        <v>-100</v>
      </c>
      <c r="E115" s="0" t="n">
        <v>0.0205013000059215</v>
      </c>
      <c r="F115" s="0" t="n">
        <v>1</v>
      </c>
      <c r="G115" s="0" t="n">
        <v>3.21565720673844</v>
      </c>
      <c r="H115" s="0" t="n">
        <v>1.91248498342034</v>
      </c>
      <c r="I115" s="0" t="n">
        <v>-0.451000723499075</v>
      </c>
      <c r="J115" s="0" t="n">
        <v>1.92085365832564</v>
      </c>
      <c r="K115" s="0" t="n">
        <v>-0.469716187219277</v>
      </c>
      <c r="L115" s="0" t="n">
        <f aca="false">SQRT((J115-H115)^2+(K115-I115)^2)</f>
        <v>0.0205013000059217</v>
      </c>
      <c r="M115" s="0" t="n">
        <f aca="false">C115*(L115/MAX(E115,L115))</f>
        <v>0</v>
      </c>
      <c r="O115" s="0" t="s">
        <v>29</v>
      </c>
      <c r="P115" s="0" t="n">
        <v>4.62199</v>
      </c>
      <c r="Q115" s="0" t="n">
        <v>1.27508</v>
      </c>
      <c r="R115" s="0" t="n">
        <v>0.416145086288452</v>
      </c>
    </row>
    <row r="116" customFormat="false" ht="13.8" hidden="false" customHeight="false" outlineLevel="0" collapsed="false">
      <c r="A116" s="0" t="n">
        <v>4.91575929087299</v>
      </c>
      <c r="B116" s="0" t="n">
        <v>1.2506096683639</v>
      </c>
      <c r="C116" s="0" t="n">
        <f aca="false">TRUE()</f>
        <v>1</v>
      </c>
      <c r="D116" s="0" t="n">
        <v>-120.419033942819</v>
      </c>
      <c r="E116" s="0" t="n">
        <v>1.56038833477851</v>
      </c>
      <c r="F116" s="0" t="n">
        <v>176</v>
      </c>
      <c r="G116" s="0" t="n">
        <v>0.648193329401798</v>
      </c>
      <c r="H116" s="0" t="n">
        <v>4.29593434987338</v>
      </c>
      <c r="I116" s="0" t="n">
        <v>-0.628474050307839</v>
      </c>
      <c r="J116" s="0" t="n">
        <v>4.29321670708532</v>
      </c>
      <c r="K116" s="0" t="n">
        <v>0.716454262903127</v>
      </c>
      <c r="L116" s="0" t="n">
        <f aca="false">SQRT((J116-H116)^2+(K116-I116)^2)</f>
        <v>1.34493105892414</v>
      </c>
      <c r="M116" s="0" t="n">
        <f aca="false">C116*(L116/MAX(E116,L116))</f>
        <v>0.861920734055635</v>
      </c>
      <c r="O116" s="0" t="s">
        <v>29</v>
      </c>
      <c r="P116" s="0" t="n">
        <v>4.62199</v>
      </c>
      <c r="Q116" s="0" t="n">
        <v>1.27508</v>
      </c>
      <c r="R116" s="0" t="n">
        <v>38.9493749141693</v>
      </c>
    </row>
    <row r="117" customFormat="false" ht="13.8" hidden="false" customHeight="false" outlineLevel="0" collapsed="false">
      <c r="A117" s="0" t="n">
        <v>4.91575929087299</v>
      </c>
      <c r="B117" s="0" t="n">
        <v>1.2506096683639</v>
      </c>
      <c r="C117" s="0" t="n">
        <f aca="false">TRUE()</f>
        <v>1</v>
      </c>
      <c r="D117" s="0" t="n">
        <v>-96.2080807983875</v>
      </c>
      <c r="E117" s="0" t="n">
        <v>6.88122646681373</v>
      </c>
      <c r="F117" s="0" t="n">
        <v>246</v>
      </c>
      <c r="G117" s="0" t="n">
        <v>0.78571338995412</v>
      </c>
      <c r="H117" s="0" t="n">
        <v>0.402135356976662</v>
      </c>
      <c r="I117" s="0" t="n">
        <v>-1.36924742900129</v>
      </c>
      <c r="J117" s="0" t="n">
        <v>4.83826962631695</v>
      </c>
      <c r="K117" s="0" t="n">
        <v>0.519720049781964</v>
      </c>
      <c r="L117" s="0" t="n">
        <f aca="false">SQRT((J117-H117)^2+(K117-I117)^2)</f>
        <v>4.82156462069276</v>
      </c>
      <c r="M117" s="0" t="n">
        <f aca="false">C117*(L117/MAX(E117,L117))</f>
        <v>0.700683903363134</v>
      </c>
      <c r="O117" s="0" t="s">
        <v>29</v>
      </c>
      <c r="P117" s="0" t="n">
        <v>4.62199</v>
      </c>
      <c r="Q117" s="0" t="n">
        <v>1.27508</v>
      </c>
      <c r="R117" s="0" t="n">
        <v>54.3052699565888</v>
      </c>
    </row>
    <row r="118" customFormat="false" ht="13.8" hidden="false" customHeight="false" outlineLevel="0" collapsed="false">
      <c r="A118" s="0" t="n">
        <v>4.91575929087299</v>
      </c>
      <c r="B118" s="0" t="n">
        <v>1.2506096683639</v>
      </c>
      <c r="C118" s="0" t="n">
        <f aca="false">FALSE()</f>
        <v>0</v>
      </c>
      <c r="D118" s="0" t="n">
        <v>-143.706785260439</v>
      </c>
      <c r="E118" s="0" t="n">
        <v>0.0369038722868597</v>
      </c>
      <c r="F118" s="0" t="n">
        <v>120</v>
      </c>
      <c r="G118" s="0" t="n">
        <v>7.53205674516418</v>
      </c>
      <c r="H118" s="0" t="n">
        <v>-2.90895329939684</v>
      </c>
      <c r="I118" s="0" t="n">
        <v>1.02508594350178</v>
      </c>
      <c r="J118" s="0" t="n">
        <v>-2.9059722789901</v>
      </c>
      <c r="K118" s="0" t="n">
        <v>1.02676016898491</v>
      </c>
      <c r="L118" s="0" t="n">
        <f aca="false">SQRT((J118-H118)^2+(K118-I118)^2)</f>
        <v>0.0034189930730764</v>
      </c>
      <c r="M118" s="0" t="n">
        <f aca="false">C118*(L118/MAX(E118,L118))</f>
        <v>0</v>
      </c>
      <c r="O118" s="0" t="s">
        <v>29</v>
      </c>
      <c r="P118" s="0" t="n">
        <v>4.62199</v>
      </c>
      <c r="Q118" s="0" t="n">
        <v>1.27508</v>
      </c>
      <c r="R118" s="0" t="n">
        <v>26.5682992935181</v>
      </c>
    </row>
    <row r="119" customFormat="false" ht="13.8" hidden="false" customHeight="false" outlineLevel="0" collapsed="false">
      <c r="A119" s="0" t="n">
        <v>4.91575929087299</v>
      </c>
      <c r="B119" s="0" t="n">
        <v>1.2506096683639</v>
      </c>
      <c r="C119" s="0" t="n">
        <f aca="false">TRUE()</f>
        <v>1</v>
      </c>
      <c r="D119" s="0" t="n">
        <v>-82.9473898082972</v>
      </c>
      <c r="E119" s="0" t="n">
        <v>4.76058677917694</v>
      </c>
      <c r="F119" s="0" t="n">
        <v>207</v>
      </c>
      <c r="G119" s="0" t="n">
        <v>0.808284586535263</v>
      </c>
      <c r="H119" s="0" t="n">
        <v>0.115762367825489</v>
      </c>
      <c r="I119" s="0" t="n">
        <v>1.04875490326831</v>
      </c>
      <c r="J119" s="0" t="n">
        <v>4.79833758129249</v>
      </c>
      <c r="K119" s="0" t="n">
        <v>0.486267282428352</v>
      </c>
      <c r="L119" s="0" t="n">
        <f aca="false">SQRT((J119-H119)^2+(K119-I119)^2)</f>
        <v>4.7162382205921</v>
      </c>
      <c r="M119" s="0" t="n">
        <f aca="false">C119*(L119/MAX(E119,L119))</f>
        <v>0.990684224310578</v>
      </c>
      <c r="O119" s="0" t="s">
        <v>29</v>
      </c>
      <c r="P119" s="0" t="n">
        <v>4.62199</v>
      </c>
      <c r="Q119" s="0" t="n">
        <v>1.27508</v>
      </c>
      <c r="R119" s="0" t="n">
        <v>45.979612827301</v>
      </c>
    </row>
    <row r="120" customFormat="false" ht="13.8" hidden="false" customHeight="false" outlineLevel="0" collapsed="false">
      <c r="A120" s="0" t="n">
        <v>4.91575929087299</v>
      </c>
      <c r="B120" s="0" t="n">
        <v>1.2506096683639</v>
      </c>
      <c r="C120" s="0" t="n">
        <f aca="false">TRUE()</f>
        <v>1</v>
      </c>
      <c r="D120" s="0" t="n">
        <v>-74.7771687155962</v>
      </c>
      <c r="E120" s="0" t="n">
        <v>9.24655420845995</v>
      </c>
      <c r="F120" s="0" t="n">
        <v>377</v>
      </c>
      <c r="G120" s="0" t="n">
        <v>0.922737449818493</v>
      </c>
      <c r="H120" s="0" t="n">
        <v>-1.0226103756329</v>
      </c>
      <c r="I120" s="0" t="n">
        <v>-2.1058469127021</v>
      </c>
      <c r="J120" s="0" t="n">
        <v>4.40201392291981</v>
      </c>
      <c r="K120" s="0" t="n">
        <v>0.378946680225567</v>
      </c>
      <c r="L120" s="0" t="n">
        <f aca="false">SQRT((J120-H120)^2+(K120-I120)^2)</f>
        <v>5.96663623659956</v>
      </c>
      <c r="M120" s="0" t="n">
        <f aca="false">C120*(L120/MAX(E120,L120))</f>
        <v>0.645282134521042</v>
      </c>
      <c r="O120" s="0" t="s">
        <v>29</v>
      </c>
      <c r="P120" s="0" t="n">
        <v>4.62199</v>
      </c>
      <c r="Q120" s="0" t="n">
        <v>1.27508</v>
      </c>
      <c r="R120" s="0" t="n">
        <v>83.6965770721436</v>
      </c>
    </row>
    <row r="121" customFormat="false" ht="13.8" hidden="false" customHeight="false" outlineLevel="0" collapsed="false">
      <c r="A121" s="0" t="n">
        <v>4.91575929087299</v>
      </c>
      <c r="B121" s="0" t="n">
        <v>1.2506096683639</v>
      </c>
      <c r="C121" s="0" t="n">
        <f aca="false">FALSE()</f>
        <v>0</v>
      </c>
      <c r="D121" s="0" t="n">
        <v>-133.285618632436</v>
      </c>
      <c r="E121" s="0" t="n">
        <v>2.1049433949831</v>
      </c>
      <c r="F121" s="0" t="n">
        <v>160</v>
      </c>
      <c r="G121" s="0" t="n">
        <v>3.55596217123193</v>
      </c>
      <c r="H121" s="0" t="n">
        <v>1.27219248936297</v>
      </c>
      <c r="I121" s="0" t="n">
        <v>1.45059538738703</v>
      </c>
      <c r="J121" s="0" t="n">
        <v>1.47393421861004</v>
      </c>
      <c r="K121" s="0" t="n">
        <v>-0.37858615750876</v>
      </c>
      <c r="L121" s="0" t="n">
        <f aca="false">SQRT((J121-H121)^2+(K121-I121)^2)</f>
        <v>1.84027303667335</v>
      </c>
      <c r="M121" s="0" t="n">
        <f aca="false">C121*(L121/MAX(E121,L121))</f>
        <v>0</v>
      </c>
      <c r="O121" s="0" t="s">
        <v>29</v>
      </c>
      <c r="P121" s="0" t="n">
        <v>4.62199</v>
      </c>
      <c r="Q121" s="0" t="n">
        <v>1.27508</v>
      </c>
      <c r="R121" s="0" t="n">
        <v>35.4167428016663</v>
      </c>
    </row>
    <row r="122" customFormat="false" ht="13.8" hidden="false" customHeight="false" outlineLevel="0" collapsed="false">
      <c r="A122" s="0" t="n">
        <v>4.74513044348228</v>
      </c>
      <c r="B122" s="0" t="n">
        <v>-1.12252867385898</v>
      </c>
      <c r="C122" s="0" t="n">
        <f aca="false">FALSE()</f>
        <v>0</v>
      </c>
      <c r="D122" s="0" t="n">
        <v>-122.391020256877</v>
      </c>
      <c r="E122" s="0" t="n">
        <v>3.53227617335057</v>
      </c>
      <c r="F122" s="0" t="n">
        <v>212</v>
      </c>
      <c r="G122" s="0" t="n">
        <v>2.11182487950017</v>
      </c>
      <c r="H122" s="0" t="n">
        <v>0.953383321093807</v>
      </c>
      <c r="I122" s="0" t="n">
        <v>0.641996400281307</v>
      </c>
      <c r="J122" s="0" t="n">
        <v>3.23083966886449</v>
      </c>
      <c r="K122" s="0" t="n">
        <v>0.127103960363483</v>
      </c>
      <c r="L122" s="0" t="n">
        <f aca="false">SQRT((J122-H122)^2+(K122-I122)^2)</f>
        <v>2.33493503992841</v>
      </c>
      <c r="M122" s="0" t="n">
        <f aca="false">C122*(L122/MAX(E122,L122))</f>
        <v>0</v>
      </c>
      <c r="O122" s="0" t="s">
        <v>30</v>
      </c>
      <c r="P122" s="0" t="n">
        <v>4.93549</v>
      </c>
      <c r="Q122" s="0" t="n">
        <v>-1.11948</v>
      </c>
      <c r="R122" s="0" t="n">
        <v>47.0543792247772</v>
      </c>
    </row>
    <row r="123" customFormat="false" ht="13.8" hidden="false" customHeight="false" outlineLevel="0" collapsed="false">
      <c r="A123" s="0" t="n">
        <v>4.74513044348228</v>
      </c>
      <c r="B123" s="0" t="n">
        <v>-1.12252867385898</v>
      </c>
      <c r="C123" s="0" t="n">
        <f aca="false">TRUE()</f>
        <v>1</v>
      </c>
      <c r="D123" s="0" t="n">
        <v>-114.925061603785</v>
      </c>
      <c r="E123" s="0" t="n">
        <v>5.41768763182983</v>
      </c>
      <c r="F123" s="0" t="n">
        <v>222</v>
      </c>
      <c r="G123" s="0" t="n">
        <v>0.694953069639649</v>
      </c>
      <c r="H123" s="0" t="n">
        <v>0.405775479768866</v>
      </c>
      <c r="I123" s="0" t="n">
        <v>-2.31839870619652</v>
      </c>
      <c r="J123" s="0" t="n">
        <v>4.32267866050539</v>
      </c>
      <c r="K123" s="0" t="n">
        <v>-1.44723300332475</v>
      </c>
      <c r="L123" s="0" t="n">
        <f aca="false">SQRT((J123-H123)^2+(K123-I123)^2)</f>
        <v>4.01261264130042</v>
      </c>
      <c r="M123" s="0" t="n">
        <f aca="false">C123*(L123/MAX(E123,L123))</f>
        <v>0.740650423942061</v>
      </c>
      <c r="O123" s="0" t="s">
        <v>30</v>
      </c>
      <c r="P123" s="0" t="n">
        <v>4.93549</v>
      </c>
      <c r="Q123" s="0" t="n">
        <v>-1.11948</v>
      </c>
      <c r="R123" s="0" t="n">
        <v>49.1282408237457</v>
      </c>
    </row>
    <row r="124" customFormat="false" ht="13.8" hidden="false" customHeight="false" outlineLevel="0" collapsed="false">
      <c r="A124" s="0" t="n">
        <v>4.74513044348228</v>
      </c>
      <c r="B124" s="0" t="n">
        <v>-1.12252867385898</v>
      </c>
      <c r="C124" s="0" t="n">
        <f aca="false">FALSE()</f>
        <v>0</v>
      </c>
      <c r="D124" s="0" t="n">
        <v>-103.596878745556</v>
      </c>
      <c r="E124" s="0" t="n">
        <v>2.48233930284989</v>
      </c>
      <c r="F124" s="0" t="n">
        <v>58</v>
      </c>
      <c r="G124" s="0" t="n">
        <v>2.03056394753955</v>
      </c>
      <c r="H124" s="0" t="n">
        <v>1.00649078214933</v>
      </c>
      <c r="I124" s="0" t="n">
        <v>0.638176873672273</v>
      </c>
      <c r="J124" s="0" t="n">
        <v>3.33499852927722</v>
      </c>
      <c r="K124" s="0" t="n">
        <v>0.130166748961895</v>
      </c>
      <c r="L124" s="0" t="n">
        <f aca="false">SQRT((J124-H124)^2+(K124-I124)^2)</f>
        <v>2.38327980213043</v>
      </c>
      <c r="M124" s="0" t="n">
        <f aca="false">C124*(L124/MAX(E124,L124))</f>
        <v>0</v>
      </c>
      <c r="O124" s="0" t="s">
        <v>30</v>
      </c>
      <c r="P124" s="0" t="n">
        <v>4.93549</v>
      </c>
      <c r="Q124" s="0" t="n">
        <v>-1.11948</v>
      </c>
      <c r="R124" s="0" t="n">
        <v>13.0117454528809</v>
      </c>
    </row>
    <row r="125" customFormat="false" ht="13.8" hidden="false" customHeight="false" outlineLevel="0" collapsed="false">
      <c r="A125" s="0" t="n">
        <v>4.74513044348228</v>
      </c>
      <c r="B125" s="0" t="n">
        <v>-1.12252867385898</v>
      </c>
      <c r="C125" s="0" t="n">
        <f aca="false">TRUE()</f>
        <v>1</v>
      </c>
      <c r="D125" s="0" t="n">
        <v>-95.5759741538763</v>
      </c>
      <c r="E125" s="0" t="n">
        <v>8.37797843841194</v>
      </c>
      <c r="F125" s="0" t="n">
        <v>272</v>
      </c>
      <c r="G125" s="0" t="n">
        <v>0.709801534794992</v>
      </c>
      <c r="H125" s="0" t="n">
        <v>0.0690829630556627</v>
      </c>
      <c r="I125" s="0" t="n">
        <v>-0.4279545723456</v>
      </c>
      <c r="J125" s="0" t="n">
        <v>4.30856732691825</v>
      </c>
      <c r="K125" s="0" t="n">
        <v>-1.45232558097316</v>
      </c>
      <c r="L125" s="0" t="n">
        <f aca="false">SQRT((J125-H125)^2+(K125-I125)^2)</f>
        <v>4.36148640199096</v>
      </c>
      <c r="M125" s="0" t="n">
        <f aca="false">C125*(L125/MAX(E125,L125))</f>
        <v>0.520589356257365</v>
      </c>
      <c r="O125" s="0" t="s">
        <v>30</v>
      </c>
      <c r="P125" s="0" t="n">
        <v>4.93549</v>
      </c>
      <c r="Q125" s="0" t="n">
        <v>-1.11948</v>
      </c>
      <c r="R125" s="0" t="n">
        <v>60.3833451271057</v>
      </c>
    </row>
    <row r="126" customFormat="false" ht="13.8" hidden="false" customHeight="false" outlineLevel="0" collapsed="false">
      <c r="A126" s="0" t="n">
        <v>4.74513044348228</v>
      </c>
      <c r="B126" s="0" t="n">
        <v>-1.12252867385898</v>
      </c>
      <c r="C126" s="0" t="n">
        <f aca="false">TRUE()</f>
        <v>1</v>
      </c>
      <c r="D126" s="0" t="n">
        <v>-91.337130728364</v>
      </c>
      <c r="E126" s="0" t="n">
        <v>8.16635275989314</v>
      </c>
      <c r="F126" s="0" t="n">
        <v>272</v>
      </c>
      <c r="G126" s="0" t="n">
        <v>0.709098597430105</v>
      </c>
      <c r="H126" s="0" t="n">
        <v>-1.06699910460111</v>
      </c>
      <c r="I126" s="0" t="n">
        <v>-2.2904754357983</v>
      </c>
      <c r="J126" s="0" t="n">
        <v>4.34695837351784</v>
      </c>
      <c r="K126" s="0" t="n">
        <v>-1.51501930968693</v>
      </c>
      <c r="L126" s="0" t="n">
        <f aca="false">SQRT((J126-H126)^2+(K126-I126)^2)</f>
        <v>5.46921089174698</v>
      </c>
      <c r="M126" s="0" t="n">
        <f aca="false">C126*(L126/MAX(E126,L126))</f>
        <v>0.669725035465961</v>
      </c>
      <c r="O126" s="0" t="s">
        <v>30</v>
      </c>
      <c r="P126" s="0" t="n">
        <v>4.93549</v>
      </c>
      <c r="Q126" s="0" t="n">
        <v>-1.11948</v>
      </c>
      <c r="R126" s="0" t="n">
        <v>59.9008274078369</v>
      </c>
    </row>
    <row r="127" customFormat="false" ht="13.8" hidden="false" customHeight="false" outlineLevel="0" collapsed="false">
      <c r="A127" s="0" t="n">
        <v>4.74513044348228</v>
      </c>
      <c r="B127" s="0" t="n">
        <v>-1.12252867385898</v>
      </c>
      <c r="C127" s="0" t="n">
        <f aca="false">FALSE()</f>
        <v>0</v>
      </c>
      <c r="D127" s="0" t="n">
        <v>-113.093373022676</v>
      </c>
      <c r="E127" s="0" t="n">
        <v>6.26199864584307</v>
      </c>
      <c r="F127" s="0" t="n">
        <v>20</v>
      </c>
      <c r="G127" s="0" t="n">
        <v>5.68101544884523</v>
      </c>
      <c r="H127" s="0" t="n">
        <v>2.25452665830334</v>
      </c>
      <c r="I127" s="0" t="n">
        <v>-0.23099672879825</v>
      </c>
      <c r="J127" s="0" t="n">
        <v>-0.56142047053338</v>
      </c>
      <c r="K127" s="0" t="n">
        <v>-2.55402236917514</v>
      </c>
      <c r="L127" s="0" t="n">
        <f aca="false">SQRT((J127-H127)^2+(K127-I127)^2)</f>
        <v>3.65048029144827</v>
      </c>
      <c r="M127" s="0" t="n">
        <f aca="false">C127*(L127/MAX(E127,L127))</f>
        <v>0</v>
      </c>
      <c r="O127" s="0" t="s">
        <v>30</v>
      </c>
      <c r="P127" s="0" t="n">
        <v>4.93549</v>
      </c>
      <c r="Q127" s="0" t="n">
        <v>-1.11948</v>
      </c>
      <c r="R127" s="0" t="n">
        <v>4.56551289558411</v>
      </c>
    </row>
    <row r="128" customFormat="false" ht="13.8" hidden="false" customHeight="false" outlineLevel="0" collapsed="false">
      <c r="A128" s="0" t="n">
        <v>4.74513044348228</v>
      </c>
      <c r="B128" s="0" t="n">
        <v>-1.12252867385898</v>
      </c>
      <c r="C128" s="0" t="n">
        <f aca="false">TRUE()</f>
        <v>1</v>
      </c>
      <c r="D128" s="0" t="n">
        <v>-32.2944902700186</v>
      </c>
      <c r="E128" s="0" t="n">
        <v>7.39743517149445</v>
      </c>
      <c r="F128" s="0" t="n">
        <v>400</v>
      </c>
      <c r="G128" s="0" t="n">
        <v>0.760254259003233</v>
      </c>
      <c r="H128" s="0" t="n">
        <v>-0.459936229831205</v>
      </c>
      <c r="I128" s="0" t="n">
        <v>-2.68460583309262</v>
      </c>
      <c r="J128" s="0" t="n">
        <v>4.17712145606713</v>
      </c>
      <c r="K128" s="0" t="n">
        <v>-1.06596654462947</v>
      </c>
      <c r="L128" s="0" t="n">
        <f aca="false">SQRT((J128-H128)^2+(K128-I128)^2)</f>
        <v>4.91144552331647</v>
      </c>
      <c r="M128" s="0" t="n">
        <f aca="false">C128*(L128/MAX(E128,L128))</f>
        <v>0.663938974719563</v>
      </c>
      <c r="O128" s="0" t="s">
        <v>30</v>
      </c>
      <c r="P128" s="0" t="n">
        <v>4.93549</v>
      </c>
      <c r="Q128" s="0" t="n">
        <v>-1.11948</v>
      </c>
      <c r="R128" s="0" t="n">
        <v>88.5230209827423</v>
      </c>
    </row>
    <row r="129" customFormat="false" ht="13.8" hidden="false" customHeight="false" outlineLevel="0" collapsed="false">
      <c r="A129" s="0" t="n">
        <v>4.74513044348228</v>
      </c>
      <c r="B129" s="0" t="n">
        <v>-1.12252867385898</v>
      </c>
      <c r="C129" s="0" t="n">
        <f aca="false">FALSE()</f>
        <v>0</v>
      </c>
      <c r="D129" s="0" t="n">
        <v>-94.3680770897865</v>
      </c>
      <c r="E129" s="0" t="n">
        <v>2.82821309046061</v>
      </c>
      <c r="F129" s="0" t="n">
        <v>166</v>
      </c>
      <c r="G129" s="0" t="n">
        <v>3.74407478027787</v>
      </c>
      <c r="H129" s="0" t="n">
        <v>0.357072364119668</v>
      </c>
      <c r="I129" s="0" t="n">
        <v>0.899414754477842</v>
      </c>
      <c r="J129" s="0" t="n">
        <v>1.19523993350023</v>
      </c>
      <c r="K129" s="0" t="n">
        <v>-1.28867042632856</v>
      </c>
      <c r="L129" s="0" t="n">
        <f aca="false">SQRT((J129-H129)^2+(K129-I129)^2)</f>
        <v>2.34312646539317</v>
      </c>
      <c r="M129" s="0" t="n">
        <f aca="false">C129*(L129/MAX(E129,L129))</f>
        <v>0</v>
      </c>
      <c r="O129" s="0" t="s">
        <v>30</v>
      </c>
      <c r="P129" s="0" t="n">
        <v>4.93549</v>
      </c>
      <c r="Q129" s="0" t="n">
        <v>-1.11948</v>
      </c>
      <c r="R129" s="0" t="n">
        <v>36.8152418136597</v>
      </c>
    </row>
    <row r="130" customFormat="false" ht="13.8" hidden="false" customHeight="false" outlineLevel="0" collapsed="false">
      <c r="A130" s="0" t="n">
        <v>4.74513044348228</v>
      </c>
      <c r="B130" s="0" t="n">
        <v>-1.12252867385898</v>
      </c>
      <c r="C130" s="0" t="n">
        <f aca="false">TRUE()</f>
        <v>1</v>
      </c>
      <c r="D130" s="0" t="n">
        <v>-104.115420333743</v>
      </c>
      <c r="E130" s="0" t="n">
        <v>9.19279685770941</v>
      </c>
      <c r="F130" s="0" t="n">
        <v>296</v>
      </c>
      <c r="G130" s="0" t="n">
        <v>0.677101035394837</v>
      </c>
      <c r="H130" s="0" t="n">
        <v>0.466956104011219</v>
      </c>
      <c r="I130" s="0" t="n">
        <v>1.10303970647707</v>
      </c>
      <c r="J130" s="0" t="n">
        <v>4.3542381343628</v>
      </c>
      <c r="K130" s="0" t="n">
        <v>-1.46677250038841</v>
      </c>
      <c r="L130" s="0" t="n">
        <f aca="false">SQRT((J130-H130)^2+(K130-I130)^2)</f>
        <v>4.6599245017542</v>
      </c>
      <c r="M130" s="0" t="n">
        <f aca="false">C130*(L130/MAX(E130,L130))</f>
        <v>0.506910418437694</v>
      </c>
      <c r="O130" s="0" t="s">
        <v>30</v>
      </c>
      <c r="P130" s="0" t="n">
        <v>4.93549</v>
      </c>
      <c r="Q130" s="0" t="n">
        <v>-1.11948</v>
      </c>
      <c r="R130" s="0" t="n">
        <v>65.5955009460449</v>
      </c>
    </row>
    <row r="131" customFormat="false" ht="13.8" hidden="false" customHeight="false" outlineLevel="0" collapsed="false">
      <c r="A131" s="0" t="n">
        <v>4.74513044348228</v>
      </c>
      <c r="B131" s="0" t="n">
        <v>-1.12252867385898</v>
      </c>
      <c r="C131" s="0" t="n">
        <f aca="false">TRUE()</f>
        <v>1</v>
      </c>
      <c r="D131" s="0" t="n">
        <v>-113.534767178893</v>
      </c>
      <c r="E131" s="0" t="n">
        <v>2.50572344554944</v>
      </c>
      <c r="F131" s="0" t="n">
        <v>177</v>
      </c>
      <c r="G131" s="0" t="n">
        <v>0.810420964589116</v>
      </c>
      <c r="H131" s="0" t="n">
        <v>4.11182015502142</v>
      </c>
      <c r="I131" s="0" t="n">
        <v>1.30631618604898</v>
      </c>
      <c r="J131" s="0" t="n">
        <v>4.12695345168727</v>
      </c>
      <c r="K131" s="0" t="n">
        <v>-1.1747139559338</v>
      </c>
      <c r="L131" s="0" t="n">
        <f aca="false">SQRT((J131-H131)^2+(K131-I131)^2)</f>
        <v>2.48107629509756</v>
      </c>
      <c r="M131" s="0" t="n">
        <f aca="false">C131*(L131/MAX(E131,L131))</f>
        <v>0.99016365892427</v>
      </c>
      <c r="O131" s="0" t="s">
        <v>30</v>
      </c>
      <c r="P131" s="0" t="n">
        <v>4.93549</v>
      </c>
      <c r="Q131" s="0" t="n">
        <v>-1.11948</v>
      </c>
      <c r="R131" s="0" t="n">
        <v>39.666604757309</v>
      </c>
    </row>
    <row r="132" customFormat="false" ht="13.8" hidden="false" customHeight="false" outlineLevel="0" collapsed="false">
      <c r="C132" s="2" t="n">
        <f aca="false">AVERAGE(C2:C131)</f>
        <v>0.630769230769231</v>
      </c>
      <c r="M132" s="2" t="n">
        <f aca="false">AVERAGE(M2:M131)</f>
        <v>0.469526445241228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2026-03-17T18:29:25Z</dcterms:created>
  <dc:creator>openpyxl</dc:creator>
  <dc:description/>
  <dc:language>en-US</dc:language>
  <cp:lastModifiedBy/>
  <dcterms:modified xsi:type="dcterms:W3CDTF">2026-03-18T10:05:21Z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